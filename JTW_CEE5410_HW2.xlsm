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04" codeName="{316AF4FF-6532-DD95-964C-923D217D005E}"/>
  <workbookPr codeName="ThisWorkbook" defaultThemeVersion="166925"/>
  <mc:AlternateContent xmlns:mc="http://schemas.openxmlformats.org/markup-compatibility/2006">
    <mc:Choice Requires="x15">
      <x15ac:absPath xmlns:x15ac="http://schemas.microsoft.com/office/spreadsheetml/2010/11/ac" url="https://aggiemailusu-my.sharepoint.com/personal/joshua_timothy_ward_aggiemail_usu_edu/Documents/CourseWork/Fall 2020/CEE 5410 Water Systems Analysis/GitHub Respository/JTW_CEE5410_Repo/"/>
    </mc:Choice>
  </mc:AlternateContent>
  <xr:revisionPtr revIDLastSave="0" documentId="8_{0CD743CC-682E-4F9C-B49B-29B1020440FD}" xr6:coauthVersionLast="45" xr6:coauthVersionMax="45" xr10:uidLastSave="{00000000-0000-0000-0000-000000000000}"/>
  <bookViews>
    <workbookView xWindow="44880" yWindow="-120" windowWidth="21840" windowHeight="13740" activeTab="1" xr2:uid="{16FD4BA5-5F6E-42FF-8A0A-3E369973CCD7}"/>
  </bookViews>
  <sheets>
    <sheet name="CoverPage" sheetId="2" r:id="rId1"/>
    <sheet name="Problem 2.3" sheetId="3" r:id="rId2"/>
  </sheets>
  <definedNames>
    <definedName name="AssignName">CoverPage!$A$1</definedName>
    <definedName name="CourseName">CoverPage!$A$5</definedName>
    <definedName name="DueDate">CoverPage!$A$6</definedName>
    <definedName name="_xlnm.Print_Area" localSheetId="1">'Problem 2.3'!$A:$L</definedName>
    <definedName name="solver_adj" localSheetId="1" hidden="1">'Problem 2.3'!$J$66</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'Problem 2.3'!$J$67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9" i="3" l="1" a="1"/>
  <c r="C129" i="3" s="1"/>
  <c r="D129" i="3" a="1"/>
  <c r="D129" i="3" s="1"/>
  <c r="J67" i="3"/>
  <c r="H67" i="3"/>
  <c r="I67" i="3"/>
  <c r="G66" i="3"/>
  <c r="G67" i="3" s="1"/>
  <c r="H114" i="3" l="1"/>
  <c r="D114" i="3"/>
  <c r="E114" i="3"/>
  <c r="F114" i="3"/>
  <c r="G114" i="3"/>
  <c r="B114" i="3"/>
  <c r="C114" i="3"/>
  <c r="J100" i="3"/>
  <c r="J101" i="3" s="1"/>
  <c r="I100" i="3"/>
  <c r="C112" i="3" l="1"/>
  <c r="C111" i="3"/>
  <c r="C113" i="3"/>
  <c r="E111" i="3"/>
  <c r="E112" i="3"/>
  <c r="E113" i="3"/>
  <c r="F113" i="3"/>
  <c r="F111" i="3"/>
  <c r="F112" i="3"/>
  <c r="K100" i="3"/>
  <c r="B111" i="3"/>
  <c r="B113" i="3"/>
  <c r="B112" i="3"/>
  <c r="B123" i="3" s="1"/>
  <c r="B126" i="3" s="1"/>
  <c r="D111" i="3"/>
  <c r="D113" i="3"/>
  <c r="D112" i="3"/>
  <c r="G112" i="3"/>
  <c r="G123" i="3" s="1"/>
  <c r="G126" i="3" s="1"/>
  <c r="G111" i="3"/>
  <c r="G113" i="3"/>
  <c r="H113" i="3"/>
  <c r="H112" i="3"/>
  <c r="H123" i="3" s="1"/>
  <c r="C110" i="3"/>
  <c r="I111" i="3" s="1"/>
  <c r="B121" i="3" l="1"/>
  <c r="H126" i="3"/>
  <c r="H125" i="3"/>
  <c r="D123" i="3"/>
  <c r="D122" i="3" s="1"/>
  <c r="G125" i="3"/>
  <c r="L101" i="3"/>
  <c r="L103" i="3"/>
  <c r="L102" i="3"/>
  <c r="L104" i="3"/>
  <c r="G124" i="3"/>
  <c r="B124" i="3"/>
  <c r="H124" i="3"/>
  <c r="G122" i="3"/>
  <c r="B122" i="3"/>
  <c r="J111" i="3"/>
  <c r="B125" i="3"/>
  <c r="F123" i="3"/>
  <c r="E123" i="3"/>
  <c r="E122" i="3" s="1"/>
  <c r="C123" i="3"/>
  <c r="C124" i="3" s="1"/>
  <c r="E62" i="3" a="1"/>
  <c r="E62" i="3" s="1"/>
  <c r="H62" i="3" s="1" a="1"/>
  <c r="H62" i="3" s="1"/>
  <c r="J62" i="3" s="1"/>
  <c r="E60" i="3" a="1"/>
  <c r="E60" i="3" s="1"/>
  <c r="H61" i="3" s="1" a="1"/>
  <c r="H61" i="3" s="1"/>
  <c r="J61" i="3" s="1"/>
  <c r="E58" i="3" a="1"/>
  <c r="E58" i="3" s="1"/>
  <c r="H60" i="3" s="1" a="1"/>
  <c r="H60" i="3" s="1"/>
  <c r="J60" i="3" s="1"/>
  <c r="J59" i="3"/>
  <c r="J63" i="3"/>
  <c r="J58" i="3"/>
  <c r="B65" i="3" a="1"/>
  <c r="D124" i="3" l="1"/>
  <c r="G121" i="3"/>
  <c r="F124" i="3"/>
  <c r="F126" i="3"/>
  <c r="F125" i="3"/>
  <c r="F122" i="3"/>
  <c r="C121" i="3"/>
  <c r="C126" i="3"/>
  <c r="L126" i="3" s="1"/>
  <c r="C125" i="3"/>
  <c r="L125" i="3" s="1"/>
  <c r="J112" i="3"/>
  <c r="K111" i="3"/>
  <c r="L124" i="3"/>
  <c r="E121" i="3"/>
  <c r="E124" i="3"/>
  <c r="E126" i="3"/>
  <c r="E125" i="3"/>
  <c r="C122" i="3"/>
  <c r="J122" i="3" s="1"/>
  <c r="D126" i="3"/>
  <c r="D125" i="3"/>
  <c r="L123" i="3"/>
  <c r="B65" i="3"/>
  <c r="K122" i="3" l="1"/>
  <c r="J123" i="3"/>
  <c r="I122" i="3"/>
  <c r="L112" i="3"/>
  <c r="L113" i="3"/>
  <c r="L115" i="3"/>
  <c r="L11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<sst xmlns="http://schemas.openxmlformats.org/spreadsheetml/2006/main" count="200" uniqueCount="119">
  <si>
    <t>Given</t>
  </si>
  <si>
    <t>Find</t>
  </si>
  <si>
    <t>Solution</t>
  </si>
  <si>
    <t>Joshua Ward</t>
  </si>
  <si>
    <t>A02081581</t>
  </si>
  <si>
    <t>Format Key</t>
  </si>
  <si>
    <t>Notes/Comments</t>
  </si>
  <si>
    <t>Inputs/Givens</t>
  </si>
  <si>
    <t>Calculations</t>
  </si>
  <si>
    <t>Check Values</t>
  </si>
  <si>
    <t>Output/Answers</t>
  </si>
  <si>
    <t>HW 2 - Graphical and Simplex Solutions</t>
  </si>
  <si>
    <t>CEE 5410/6410</t>
  </si>
  <si>
    <t>An aqueduct constructed to supply water to industrial users has an excess capacity in the months of June, July, and August of 14,000 ac-ft, 18,000 ac-ft, and 6,000 ac-ft, respectively. It is proposed to develop not more than 10,000 acres of new land by utilizing the excess aqueduct capacity for irrigation water deliveries. Two crops, hay and grain, are to be grown. Their monthly water requirements and expected net returns are given in the following table.</t>
  </si>
  <si>
    <t>A) Formulate a linear proram to optimize the irrigation development. Clearly define all the variables used and give their units.</t>
  </si>
  <si>
    <t>B) Solve graphically</t>
  </si>
  <si>
    <t>Hay</t>
  </si>
  <si>
    <t>Grain</t>
  </si>
  <si>
    <t>June</t>
  </si>
  <si>
    <t>July</t>
  </si>
  <si>
    <t>August</t>
  </si>
  <si>
    <t>Return, $/acre</t>
  </si>
  <si>
    <t>Monthly Water Requirement (ac-ft/acre)</t>
  </si>
  <si>
    <t>C) Solve using a simplex method</t>
  </si>
  <si>
    <t>Problem 2.3</t>
  </si>
  <si>
    <t>A)</t>
  </si>
  <si>
    <t>Formulate the problem</t>
  </si>
  <si>
    <t>Units</t>
  </si>
  <si>
    <t>Decision variables</t>
  </si>
  <si>
    <r>
      <t>A</t>
    </r>
    <r>
      <rPr>
        <vertAlign val="subscript"/>
        <sz val="12"/>
        <color theme="1"/>
        <rFont val="Times New Roman"/>
        <family val="1"/>
      </rPr>
      <t>h</t>
    </r>
  </si>
  <si>
    <r>
      <t>A</t>
    </r>
    <r>
      <rPr>
        <vertAlign val="subscript"/>
        <sz val="12"/>
        <color theme="1"/>
        <rFont val="Times New Roman"/>
        <family val="1"/>
      </rPr>
      <t>g</t>
    </r>
  </si>
  <si>
    <t>Symbol</t>
  </si>
  <si>
    <t>Description</t>
  </si>
  <si>
    <t>acre</t>
  </si>
  <si>
    <t>Area of land allocated to grain crops</t>
  </si>
  <si>
    <t>Area of land allocated to hay crops</t>
  </si>
  <si>
    <t>Objective Function</t>
  </si>
  <si>
    <t>Maximize the return ($) produced by cultivating hay and grain on not more than 10,000 acres of land using only excess water</t>
  </si>
  <si>
    <t>Or, for simplex methods, minimize the negative return as shown.</t>
  </si>
  <si>
    <t>Constraint Equations</t>
  </si>
  <si>
    <t>Area of hay cannot be less than 0 acres</t>
  </si>
  <si>
    <t>Area of grain cnanot be less than 0 acres</t>
  </si>
  <si>
    <t>Total water us by crops in June cannot exceed 14,000 acre-ft</t>
  </si>
  <si>
    <t>Total water us by crops in July cannot exceed 18,000 acre-ft</t>
  </si>
  <si>
    <t>Total water use by crops in August cannot exceed 6,000 acre-ft</t>
  </si>
  <si>
    <t>Combined area of hay and grain cannot exceed 10,000 acres</t>
  </si>
  <si>
    <t>B)</t>
  </si>
  <si>
    <t>Point</t>
  </si>
  <si>
    <t>Coeff</t>
  </si>
  <si>
    <t>A Matrix Coefficients</t>
  </si>
  <si>
    <t>B Vector</t>
  </si>
  <si>
    <t>X Vector</t>
  </si>
  <si>
    <t>Equations</t>
  </si>
  <si>
    <t>C5</t>
  </si>
  <si>
    <t>C1</t>
  </si>
  <si>
    <t>C2</t>
  </si>
  <si>
    <t>C3</t>
  </si>
  <si>
    <t>C4</t>
  </si>
  <si>
    <t>C6</t>
  </si>
  <si>
    <t>(Acres)</t>
  </si>
  <si>
    <t>(acft or acre)</t>
  </si>
  <si>
    <r>
      <t>A</t>
    </r>
    <r>
      <rPr>
        <b/>
        <vertAlign val="subscript"/>
        <sz val="12"/>
        <color theme="1"/>
        <rFont val="Times New Roman"/>
        <family val="1"/>
      </rPr>
      <t>h</t>
    </r>
  </si>
  <si>
    <r>
      <t>A</t>
    </r>
    <r>
      <rPr>
        <b/>
        <vertAlign val="subscript"/>
        <sz val="12"/>
        <color theme="1"/>
        <rFont val="Times New Roman"/>
        <family val="1"/>
      </rPr>
      <t>g</t>
    </r>
  </si>
  <si>
    <t>Total Return ($)</t>
  </si>
  <si>
    <t xml:space="preserve">C) </t>
  </si>
  <si>
    <t>Solve using the Simplex Method</t>
  </si>
  <si>
    <t>Constraint</t>
  </si>
  <si>
    <t>Solve Graphically for extremes (acres)</t>
  </si>
  <si>
    <t>The simplex method requires equity constraints, positive variable values,and a function to minimize. Modify the inequality constraints to equity consraints with slack variables.</t>
  </si>
  <si>
    <t>b</t>
  </si>
  <si>
    <t>-Z</t>
  </si>
  <si>
    <t>Value</t>
  </si>
  <si>
    <t>Obj. Z Coeff</t>
  </si>
  <si>
    <t>Most - Obj Func. Coeff</t>
  </si>
  <si>
    <t>Item</t>
  </si>
  <si>
    <r>
      <t>S</t>
    </r>
    <r>
      <rPr>
        <b/>
        <vertAlign val="subscript"/>
        <sz val="12"/>
        <color theme="1"/>
        <rFont val="Times New Roman"/>
        <family val="1"/>
      </rPr>
      <t>3</t>
    </r>
  </si>
  <si>
    <r>
      <t>S</t>
    </r>
    <r>
      <rPr>
        <b/>
        <vertAlign val="subscript"/>
        <sz val="12"/>
        <color theme="1"/>
        <rFont val="Times New Roman"/>
        <family val="1"/>
      </rPr>
      <t>4</t>
    </r>
  </si>
  <si>
    <r>
      <t>S</t>
    </r>
    <r>
      <rPr>
        <b/>
        <vertAlign val="subscript"/>
        <sz val="12"/>
        <color theme="1"/>
        <rFont val="Times New Roman"/>
        <family val="1"/>
      </rPr>
      <t>5</t>
    </r>
  </si>
  <si>
    <r>
      <t>S</t>
    </r>
    <r>
      <rPr>
        <b/>
        <vertAlign val="subscript"/>
        <sz val="12"/>
        <color theme="1"/>
        <rFont val="Times New Roman"/>
        <family val="1"/>
      </rPr>
      <t>6</t>
    </r>
  </si>
  <si>
    <r>
      <t>Binding: b</t>
    </r>
    <r>
      <rPr>
        <b/>
        <vertAlign val="subscript"/>
        <sz val="12"/>
        <color theme="1"/>
        <rFont val="Times New Roman"/>
        <family val="1"/>
      </rPr>
      <t>i</t>
    </r>
    <r>
      <rPr>
        <b/>
        <sz val="12"/>
        <color theme="1"/>
        <rFont val="Times New Roman"/>
        <family val="1"/>
      </rPr>
      <t>/a</t>
    </r>
    <r>
      <rPr>
        <b/>
        <vertAlign val="subscript"/>
        <sz val="12"/>
        <color theme="1"/>
        <rFont val="Times New Roman"/>
        <family val="1"/>
      </rPr>
      <t>ij</t>
    </r>
  </si>
  <si>
    <t>Pivot Variable</t>
  </si>
  <si>
    <r>
      <t>S</t>
    </r>
    <r>
      <rPr>
        <vertAlign val="subscript"/>
        <sz val="12"/>
        <color theme="1"/>
        <rFont val="Times New Roman"/>
        <family val="1"/>
      </rPr>
      <t>3</t>
    </r>
  </si>
  <si>
    <r>
      <t>S</t>
    </r>
    <r>
      <rPr>
        <vertAlign val="subscript"/>
        <sz val="12"/>
        <color theme="1"/>
        <rFont val="Times New Roman"/>
        <family val="1"/>
      </rPr>
      <t>4</t>
    </r>
  </si>
  <si>
    <r>
      <t>S</t>
    </r>
    <r>
      <rPr>
        <vertAlign val="subscript"/>
        <sz val="12"/>
        <color theme="1"/>
        <rFont val="Times New Roman"/>
        <family val="1"/>
      </rPr>
      <t>5</t>
    </r>
  </si>
  <si>
    <r>
      <t>S</t>
    </r>
    <r>
      <rPr>
        <vertAlign val="subscript"/>
        <sz val="12"/>
        <color theme="1"/>
        <rFont val="Times New Roman"/>
        <family val="1"/>
      </rPr>
      <t>6</t>
    </r>
  </si>
  <si>
    <t>acres</t>
  </si>
  <si>
    <t>acre-ft</t>
  </si>
  <si>
    <t>Slack Variables</t>
  </si>
  <si>
    <t xml:space="preserve">Unused land area </t>
  </si>
  <si>
    <t>Unused available water from aquedcut excess in June</t>
  </si>
  <si>
    <t>Unused available water from aquedcut excess in July</t>
  </si>
  <si>
    <t>Unused available water from aqueduct excess in August</t>
  </si>
  <si>
    <t>Tableau 1</t>
  </si>
  <si>
    <t>Tableau 2</t>
  </si>
  <si>
    <r>
      <t>The basic solution shows S</t>
    </r>
    <r>
      <rPr>
        <vertAlign val="subscript"/>
        <sz val="12"/>
        <color theme="1"/>
        <rFont val="Times New Roman"/>
        <family val="1"/>
      </rPr>
      <t>5</t>
    </r>
    <r>
      <rPr>
        <sz val="12"/>
        <color theme="1"/>
        <rFont val="Times New Roman"/>
        <family val="1"/>
      </rPr>
      <t>, the unused available water from the aqueduct excess in July, is most binding. S</t>
    </r>
    <r>
      <rPr>
        <vertAlign val="subscript"/>
        <sz val="12"/>
        <color theme="1"/>
        <rFont val="Times New Roman"/>
        <family val="1"/>
      </rPr>
      <t>5</t>
    </r>
    <r>
      <rPr>
        <sz val="12"/>
        <color theme="1"/>
        <rFont val="Times New Roman"/>
        <family val="1"/>
      </rPr>
      <t xml:space="preserve"> will leave the basis.</t>
    </r>
  </si>
  <si>
    <r>
      <t>This iteration shows S</t>
    </r>
    <r>
      <rPr>
        <vertAlign val="subscript"/>
        <sz val="12"/>
        <color theme="1"/>
        <rFont val="Times New Roman"/>
        <family val="1"/>
      </rPr>
      <t>3</t>
    </r>
    <r>
      <rPr>
        <sz val="12"/>
        <color theme="1"/>
        <rFont val="Times New Roman"/>
        <family val="1"/>
      </rPr>
      <t>, the unused land area, is next most binding. S</t>
    </r>
    <r>
      <rPr>
        <vertAlign val="subscript"/>
        <sz val="12"/>
        <color theme="1"/>
        <rFont val="Times New Roman"/>
        <family val="1"/>
      </rPr>
      <t>3</t>
    </r>
    <r>
      <rPr>
        <sz val="12"/>
        <color theme="1"/>
        <rFont val="Times New Roman"/>
        <family val="1"/>
      </rPr>
      <t xml:space="preserve"> will leave the basis.</t>
    </r>
  </si>
  <si>
    <t>The most negative objective function coefficient is -40 for the area planted with hay (Ah). Pivot the next tableau on this variable column in constraint 3's row.</t>
  </si>
  <si>
    <r>
      <t>The most negative objective function coefficient is -120 for the area planted with grain (A</t>
    </r>
    <r>
      <rPr>
        <vertAlign val="subscript"/>
        <sz val="12"/>
        <color theme="1"/>
        <rFont val="Times New Roman"/>
        <family val="1"/>
      </rPr>
      <t>g</t>
    </r>
    <r>
      <rPr>
        <sz val="12"/>
        <color theme="1"/>
        <rFont val="Times New Roman"/>
        <family val="1"/>
      </rPr>
      <t>). Pivot the next tableau on this variable column in constraint 5's row.</t>
    </r>
  </si>
  <si>
    <t>Operations: R[C5]=R[C5]/2; R[Obj]=R[Obj]+120*R[C5]; R[C3]=R[C3]-R[C5]; R[C4]=R[C4]-R[C5]; R[C6]=R[C6]</t>
  </si>
  <si>
    <t>Operations: R[C3]=R[C3]/0.5; R[Obj]=R[Obj]+40*R[C3]; R[C4]=R[C4]-1.5*R[C3]; R[C5]=R[C5]-R[C3]; R[C6]=R[C6]-R[C3]</t>
  </si>
  <si>
    <t>Tableau 3</t>
  </si>
  <si>
    <t>The identity matrix is found in the real decision variables and no objective function cefficients are negative. Simplex algorithm has arrived at a solution.</t>
  </si>
  <si>
    <t>The optimum solution is to plant 2000 acres of hay and 8000 acres of grain for a profit of $1.16 million.</t>
  </si>
  <si>
    <t>Identify all of the vertices of the feasible decision space and compute the return for each of the feasible options</t>
  </si>
  <si>
    <t>Solve each vertex point by linear algebra (MMULT &amp; MINVERSE functions; see formulas below)</t>
  </si>
  <si>
    <t>These points are dummy points to produce the graph shown at the right. They were found by setting one decision variable to 0 and solving.</t>
  </si>
  <si>
    <t>Plot Objective Function Slope through optimal solution</t>
  </si>
  <si>
    <t>Slack Variable</t>
  </si>
  <si>
    <t>Status</t>
  </si>
  <si>
    <t>Binding</t>
  </si>
  <si>
    <t>Non-binding</t>
  </si>
  <si>
    <t>Interpretation</t>
  </si>
  <si>
    <t>Shadow Value</t>
  </si>
  <si>
    <t>Slack Value</t>
  </si>
  <si>
    <t>Profit increases $20/add. ac-ft of excess water from aqueduct</t>
  </si>
  <si>
    <t>Profit will increase $80/add. Acre of land available</t>
  </si>
  <si>
    <t>4000 ac-ft of excess water will remain in August, no profit increase</t>
  </si>
  <si>
    <t>2000 ac-ft of excess water will remain in June, no profit increase</t>
  </si>
  <si>
    <r>
      <t xml:space="preserve">Set up the first Tableau with the basic feasible solution containing the </t>
    </r>
    <r>
      <rPr>
        <b/>
        <u/>
        <sz val="12"/>
        <color theme="1"/>
        <rFont val="Times New Roman"/>
        <family val="1"/>
      </rPr>
      <t>initial basis. Initial basis sets all decision variables to 0, slack values at maximum</t>
    </r>
    <r>
      <rPr>
        <sz val="12"/>
        <color theme="1"/>
        <rFont val="Times New Roman"/>
        <family val="1"/>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</si>
</sst>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
    <numFmt numFmtId="165" formatCode="&quot;$&quot;#,##0.00"/>
  </numFmts>
  <fonts count="20" x14ac:knownFonts="1">
    <font>
      <sz val="12"/>
      <color theme="1"/>
      <name val="Times New Roman"/>
      <family val="1"/>
    </font>
    <font>
      <b/>
      <sz val="12"/>
      <color rgb="FF3F3F3F"/>
      <name val="Times New Roman"/>
      <family val="1"/>
    </font>
    <font>
      <b/>
      <sz val="12"/>
      <color rgb="FFFA7D00"/>
      <name val="Times New Roman"/>
      <family val="1"/>
    </font>
    <font>
      <sz val="12"/>
      <color rgb="FF3F3F76"/>
      <name val="Times New Roman"/>
      <family val="1"/>
    </font>
    <font>
      <b/>
      <sz val="12"/>
      <color theme="0"/>
      <name val="Times New Roman"/>
      <family val="1"/>
    </font>
    <font>
      <b/>
      <sz val="15"/>
      <color theme="3"/>
      <name val="Times New Roman"/>
      <family val="1"/>
    </font>
    <font>
      <b/>
      <sz val="13"/>
      <color theme="3"/>
      <name val="Times New Roman"/>
      <family val="1"/>
    </font>
    <font>
      <b/>
      <sz val="11"/>
      <color theme="3"/>
      <name val="Times New Roman"/>
      <family val="1"/>
    </font>
    <font>
      <sz val="12"/>
      <color theme="1"/>
      <name val="Times New Roman"/>
      <family val="1"/>
    </font>
    <font>
      <sz val="20"/>
      <color theme="1"/>
      <name val="Times New Roman"/>
      <family val="1"/>
    </font>
    <font>
      <sz val="20"/>
      <color rgb="FF3F3F76"/>
      <name val="Times New Roman"/>
      <family val="1"/>
    </font>
    <font>
      <b/>
      <sz val="20"/>
      <color rgb="FFFA7D00"/>
      <name val="Times New Roman"/>
      <family val="1"/>
    </font>
    <font>
      <b/>
      <sz val="20"/>
      <color theme="0"/>
      <name val="Times New Roman"/>
      <family val="1"/>
    </font>
    <font>
      <b/>
      <sz val="20"/>
      <color rgb="FF3F3F3F"/>
      <name val="Times New Roman"/>
      <family val="1"/>
    </font>
    <font>
      <sz val="22"/>
      <color theme="1"/>
      <name val="Times New Roman"/>
      <family val="1"/>
    </font>
    <font>
      <vertAlign val="subscript"/>
      <sz val="12"/>
      <color theme="1"/>
      <name val="Times New Roman"/>
      <family val="1"/>
    </font>
    <font>
      <sz val="8"/>
      <name val="Times New Roman"/>
      <family val="1"/>
    </font>
    <font>
      <b/>
      <sz val="12"/>
      <color theme="1"/>
      <name val="Times New Roman"/>
      <family val="1"/>
    </font>
    <font>
      <b/>
      <vertAlign val="subscript"/>
      <sz val="12"/>
      <color theme="1"/>
      <name val="Times New Roman"/>
      <family val="1"/>
    </font>
    <font>
      <b/>
      <u/>
      <sz val="12"/>
      <color theme="1"/>
      <name val="Times New Roman"/>
      <family val="1"/>
    </font>
  </fonts>
  <fills count="16">
    <fill>
      <patternFill patternType="none"/>
    </fill>
    <fill>
      <patternFill patternType="gray125"/>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4" tint="0.39997558519241921"/>
        <bgColor indexed="64"/>
      </patternFill>
    </fill>
  </fills>
  <borders count="8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rgb="FFB2B2B2"/>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double">
        <color rgb="FF3F3F3F"/>
      </top>
      <bottom style="double">
        <color rgb="FF3F3F3F"/>
      </bottom>
      <diagonal/>
    </border>
    <border>
      <left style="medium">
        <color indexed="64"/>
      </left>
      <right style="medium">
        <color indexed="64"/>
      </right>
      <top style="thin">
        <color rgb="FF3F3F3F"/>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ck">
        <color theme="8" tint="0.59996337778862885"/>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bottom style="thin">
        <color rgb="FFB2B2B2"/>
      </bottom>
      <diagonal/>
    </border>
    <border>
      <left style="thin">
        <color rgb="FFB2B2B2"/>
      </left>
      <right style="thin">
        <color rgb="FFB2B2B2"/>
      </right>
      <top style="medium">
        <color theme="4" tint="0.39997558519241921"/>
      </top>
      <bottom style="thin">
        <color indexed="64"/>
      </bottom>
      <diagonal/>
    </border>
    <border>
      <left style="thin">
        <color rgb="FFB2B2B2"/>
      </left>
      <right/>
      <top style="thin">
        <color rgb="FFB2B2B2"/>
      </top>
      <bottom/>
      <diagonal/>
    </border>
    <border>
      <left/>
      <right/>
      <top style="thin">
        <color rgb="FFB2B2B2"/>
      </top>
      <bottom/>
      <diagonal/>
    </border>
    <border>
      <left/>
      <right style="thin">
        <color rgb="FFB2B2B2"/>
      </right>
      <top style="thin">
        <color rgb="FFB2B2B2"/>
      </top>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rgb="FFB2B2B2"/>
      </left>
      <right style="thin">
        <color rgb="FFB2B2B2"/>
      </right>
      <top style="medium">
        <color theme="4" tint="0.39997558519241921"/>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rgb="FFB2B2B2"/>
      </left>
      <right style="thin">
        <color rgb="FFB2B2B2"/>
      </right>
      <top style="thin">
        <color rgb="FFB2B2B2"/>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rgb="FFB2B2B2"/>
      </right>
      <top/>
      <bottom style="thin">
        <color rgb="FFB2B2B2"/>
      </bottom>
      <diagonal/>
    </border>
    <border>
      <left style="thin">
        <color rgb="FFB2B2B2"/>
      </left>
      <right style="medium">
        <color indexed="64"/>
      </right>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B2B2B2"/>
      </left>
      <right/>
      <top style="thin">
        <color rgb="FFB2B2B2"/>
      </top>
      <bottom style="thin">
        <color indexed="64"/>
      </bottom>
      <diagonal/>
    </border>
    <border>
      <left/>
      <right/>
      <top style="thin">
        <color rgb="FFB2B2B2"/>
      </top>
      <bottom style="thin">
        <color indexed="64"/>
      </bottom>
      <diagonal/>
    </border>
    <border>
      <left/>
      <right style="thin">
        <color rgb="FFB2B2B2"/>
      </right>
      <top style="thin">
        <color rgb="FFB2B2B2"/>
      </top>
      <bottom style="thin">
        <color indexed="64"/>
      </bottom>
      <diagonal/>
    </border>
    <border>
      <left/>
      <right style="thin">
        <color rgb="FFB2B2B2"/>
      </right>
      <top/>
      <bottom/>
      <diagonal/>
    </border>
    <border>
      <left/>
      <right style="thin">
        <color rgb="FFB2B2B2"/>
      </right>
      <top/>
      <bottom style="thin">
        <color rgb="FFB2B2B2"/>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right/>
      <top style="thin">
        <color rgb="FFB2B2B2"/>
      </top>
      <bottom style="medium">
        <color indexed="64"/>
      </bottom>
      <diagonal/>
    </border>
    <border>
      <left style="thin">
        <color indexed="64"/>
      </left>
      <right/>
      <top style="medium">
        <color indexed="64"/>
      </top>
      <bottom style="thin">
        <color indexed="64"/>
      </bottom>
      <diagonal/>
    </border>
    <border>
      <left/>
      <right/>
      <top style="thin">
        <color indexed="64"/>
      </top>
      <bottom style="thick">
        <color indexed="64"/>
      </bottom>
      <diagonal/>
    </border>
    <border>
      <left style="thin">
        <color rgb="FFB2B2B2"/>
      </left>
      <right/>
      <top style="thin">
        <color indexed="64"/>
      </top>
      <bottom style="thin">
        <color rgb="FFB2B2B2"/>
      </bottom>
      <diagonal/>
    </border>
    <border>
      <left/>
      <right/>
      <top style="thin">
        <color indexed="64"/>
      </top>
      <bottom style="thin">
        <color rgb="FFB2B2B2"/>
      </bottom>
      <diagonal/>
    </border>
    <border>
      <left/>
      <right style="thin">
        <color rgb="FFB2B2B2"/>
      </right>
      <top style="thin">
        <color indexed="64"/>
      </top>
      <bottom style="thin">
        <color rgb="FFB2B2B2"/>
      </bottom>
      <diagonal/>
    </border>
  </borders>
  <cellStyleXfs count="9">
    <xf numFmtId="0" fontId="0" fillId="0" borderId="0"/>
    <xf numFmtId="0" fontId="3" fillId="2" borderId="1" applyNumberFormat="0" applyAlignment="0" applyProtection="0"/>
    <xf numFmtId="0" fontId="1" fillId="3" borderId="2" applyNumberFormat="0" applyAlignment="0" applyProtection="0"/>
    <xf numFmtId="0" fontId="2" fillId="3" borderId="1" applyNumberFormat="0" applyAlignment="0" applyProtection="0"/>
    <xf numFmtId="164" fontId="4" fillId="4" borderId="3" applyAlignment="0" applyProtection="0"/>
    <xf numFmtId="0" fontId="5" fillId="0" borderId="4" applyNumberFormat="0" applyFill="0" applyAlignment="0" applyProtection="0"/>
    <xf numFmtId="0" fontId="6" fillId="0" borderId="5" applyNumberFormat="0" applyFill="0" applyAlignment="0" applyProtection="0"/>
    <xf numFmtId="0" fontId="7" fillId="0" borderId="6" applyNumberFormat="0" applyFill="0" applyAlignment="0" applyProtection="0"/>
    <xf numFmtId="0" fontId="8" fillId="5" borderId="7" applyNumberFormat="0" applyFont="0" applyAlignment="0" applyProtection="0"/>
  </cellStyleXfs>
  <cellXfs count="177">
    <xf numFmtId="0" fontId="0" fillId="0" borderId="0" xfId="0"/>
    <xf numFmtId="0" fontId="9" fillId="0" borderId="9" xfId="0" applyFont="1" applyBorder="1" applyAlignment="1">
      <alignment horizontal="center" vertical="center"/>
    </xf>
    <xf numFmtId="0" fontId="9" fillId="0" borderId="10" xfId="0" applyFont="1" applyBorder="1" applyAlignment="1">
      <alignment horizontal="center" vertical="center"/>
    </xf>
    <xf numFmtId="0" fontId="9" fillId="5" borderId="12" xfId="8" applyFont="1" applyBorder="1" applyAlignment="1">
      <alignment horizontal="center" vertical="center"/>
    </xf>
    <xf numFmtId="0" fontId="10" fillId="2" borderId="13" xfId="1" applyFont="1" applyBorder="1" applyAlignment="1">
      <alignment horizontal="center" vertical="center"/>
    </xf>
    <xf numFmtId="0" fontId="11" fillId="3" borderId="13" xfId="3" applyFont="1" applyBorder="1" applyAlignment="1">
      <alignment horizontal="center" vertical="center"/>
    </xf>
    <xf numFmtId="164" fontId="12" fillId="4" borderId="14" xfId="4" applyFont="1" applyBorder="1" applyAlignment="1">
      <alignment horizontal="center" vertical="center"/>
    </xf>
    <xf numFmtId="0" fontId="13" fillId="3" borderId="15" xfId="2" applyFont="1" applyBorder="1" applyAlignment="1">
      <alignment horizontal="center" vertical="center"/>
    </xf>
    <xf numFmtId="14" fontId="9" fillId="0" borderId="11" xfId="0" applyNumberFormat="1" applyFont="1" applyBorder="1" applyAlignment="1">
      <alignment horizontal="center" vertical="center"/>
    </xf>
    <xf numFmtId="0" fontId="9" fillId="0" borderId="8" xfId="0" applyFont="1" applyBorder="1" applyAlignment="1">
      <alignment horizontal="center" vertical="center"/>
    </xf>
    <xf numFmtId="0" fontId="0" fillId="0" borderId="10" xfId="0" applyBorder="1"/>
    <xf numFmtId="0" fontId="0" fillId="0" borderId="0" xfId="0"/>
    <xf numFmtId="0" fontId="0" fillId="0" borderId="0" xfId="0" applyAlignment="1">
      <alignment wrapText="1"/>
    </xf>
    <xf numFmtId="0" fontId="0" fillId="0" borderId="0" xfId="0" applyAlignment="1">
      <alignment horizontal="left" vertical="center" wrapText="1"/>
    </xf>
    <xf numFmtId="0" fontId="0" fillId="6" borderId="16" xfId="0" applyFill="1" applyBorder="1" applyAlignment="1">
      <alignment horizontal="left" vertical="center" wrapText="1"/>
    </xf>
    <xf numFmtId="0" fontId="0" fillId="6" borderId="18" xfId="0" applyFill="1" applyBorder="1" applyAlignment="1">
      <alignment horizontal="left" vertical="center" wrapText="1"/>
    </xf>
    <xf numFmtId="0" fontId="0" fillId="6" borderId="25" xfId="0" applyFill="1" applyBorder="1" applyAlignment="1">
      <alignment horizontal="left" vertical="center" wrapText="1"/>
    </xf>
    <xf numFmtId="0" fontId="0" fillId="6" borderId="26" xfId="0" applyFill="1" applyBorder="1" applyAlignment="1">
      <alignment horizontal="center" vertical="center" wrapText="1"/>
    </xf>
    <xf numFmtId="0" fontId="0" fillId="6" borderId="27" xfId="0" applyFill="1" applyBorder="1" applyAlignment="1">
      <alignment horizontal="center" vertical="center" wrapText="1"/>
    </xf>
    <xf numFmtId="0" fontId="0" fillId="7" borderId="21" xfId="0" applyFill="1" applyBorder="1" applyAlignment="1">
      <alignment wrapText="1"/>
    </xf>
    <xf numFmtId="0" fontId="0" fillId="7" borderId="22" xfId="0" applyFill="1" applyBorder="1" applyAlignment="1">
      <alignment horizontal="center" wrapText="1"/>
    </xf>
    <xf numFmtId="0" fontId="0" fillId="7" borderId="23" xfId="0" applyFill="1" applyBorder="1" applyAlignment="1">
      <alignment horizontal="center" wrapText="1"/>
    </xf>
    <xf numFmtId="0" fontId="0" fillId="0" borderId="28" xfId="0" applyBorder="1" applyAlignment="1">
      <alignment horizontal="left"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0" fillId="11" borderId="9" xfId="0" applyFill="1" applyBorder="1" applyAlignment="1">
      <alignment horizontal="center" vertical="center"/>
    </xf>
    <xf numFmtId="0" fontId="0" fillId="11" borderId="11" xfId="0" applyFill="1" applyBorder="1" applyAlignment="1">
      <alignment horizontal="center" vertical="center"/>
    </xf>
    <xf numFmtId="0" fontId="17" fillId="11" borderId="33" xfId="0" applyFont="1" applyFill="1" applyBorder="1" applyAlignment="1">
      <alignment horizontal="center" vertical="center"/>
    </xf>
    <xf numFmtId="0" fontId="17" fillId="10" borderId="35" xfId="0" applyFont="1" applyFill="1" applyBorder="1" applyAlignment="1">
      <alignment horizontal="center" vertical="center"/>
    </xf>
    <xf numFmtId="0" fontId="17" fillId="8" borderId="36" xfId="0" applyFont="1" applyFill="1" applyBorder="1" applyAlignment="1">
      <alignment horizontal="center" vertical="center"/>
    </xf>
    <xf numFmtId="0" fontId="17" fillId="9" borderId="37" xfId="0" applyFont="1" applyFill="1" applyBorder="1" applyAlignment="1">
      <alignment horizontal="center" vertical="center"/>
    </xf>
    <xf numFmtId="0" fontId="17" fillId="9" borderId="38" xfId="0" applyFont="1" applyFill="1" applyBorder="1" applyAlignment="1">
      <alignment horizontal="center" vertical="center"/>
    </xf>
    <xf numFmtId="0" fontId="17" fillId="10" borderId="38" xfId="0" applyFont="1" applyFill="1" applyBorder="1" applyAlignment="1">
      <alignment horizontal="center" vertical="center"/>
    </xf>
    <xf numFmtId="0" fontId="17" fillId="8" borderId="39" xfId="0" applyFont="1" applyFill="1" applyBorder="1" applyAlignment="1">
      <alignment horizontal="center" vertical="center"/>
    </xf>
    <xf numFmtId="0" fontId="0" fillId="9" borderId="17" xfId="0" applyFill="1" applyBorder="1" applyAlignment="1">
      <alignment horizontal="center" vertical="center"/>
    </xf>
    <xf numFmtId="0" fontId="0" fillId="9" borderId="22" xfId="0" applyFill="1" applyBorder="1" applyAlignment="1">
      <alignment horizontal="center" vertical="center"/>
    </xf>
    <xf numFmtId="1" fontId="0" fillId="10" borderId="9" xfId="0" applyNumberFormat="1" applyFill="1" applyBorder="1" applyAlignment="1">
      <alignment horizontal="right"/>
    </xf>
    <xf numFmtId="1" fontId="0" fillId="8" borderId="9" xfId="0" applyNumberFormat="1" applyFill="1" applyBorder="1" applyAlignment="1">
      <alignment horizontal="right"/>
    </xf>
    <xf numFmtId="1" fontId="0" fillId="10" borderId="11" xfId="0" applyNumberFormat="1" applyFill="1" applyBorder="1" applyAlignment="1">
      <alignment horizontal="right"/>
    </xf>
    <xf numFmtId="1" fontId="0" fillId="8" borderId="11" xfId="0" applyNumberFormat="1" applyFill="1" applyBorder="1" applyAlignment="1">
      <alignment horizontal="right"/>
    </xf>
    <xf numFmtId="0" fontId="0" fillId="0" borderId="19" xfId="0" applyBorder="1" applyAlignment="1">
      <alignment horizontal="center" vertical="center"/>
    </xf>
    <xf numFmtId="0" fontId="17" fillId="7" borderId="40" xfId="0" applyFont="1" applyFill="1" applyBorder="1" applyAlignment="1">
      <alignment horizontal="center" vertical="center"/>
    </xf>
    <xf numFmtId="0" fontId="17" fillId="13" borderId="8" xfId="0" applyFont="1" applyFill="1" applyBorder="1" applyAlignment="1">
      <alignment horizontal="center" vertical="center"/>
    </xf>
    <xf numFmtId="0" fontId="17" fillId="13" borderId="41" xfId="0" applyFont="1" applyFill="1" applyBorder="1" applyAlignment="1">
      <alignment horizontal="center" vertical="center"/>
    </xf>
    <xf numFmtId="0" fontId="17" fillId="13" borderId="43" xfId="0" applyFont="1" applyFill="1" applyBorder="1" applyAlignment="1">
      <alignment horizontal="center" vertical="center"/>
    </xf>
    <xf numFmtId="165" fontId="17" fillId="13" borderId="8" xfId="0" applyNumberFormat="1" applyFont="1" applyFill="1" applyBorder="1" applyAlignment="1">
      <alignment horizontal="center" vertical="center"/>
    </xf>
    <xf numFmtId="0" fontId="0" fillId="7" borderId="41" xfId="0" applyFill="1" applyBorder="1"/>
    <xf numFmtId="0" fontId="0" fillId="0" borderId="42" xfId="0" applyBorder="1"/>
    <xf numFmtId="165" fontId="0" fillId="12" borderId="43" xfId="0" applyNumberFormat="1" applyFill="1" applyBorder="1"/>
    <xf numFmtId="0" fontId="0" fillId="5" borderId="7" xfId="8" applyFont="1"/>
    <xf numFmtId="0" fontId="17" fillId="5" borderId="46" xfId="8" applyFont="1" applyBorder="1"/>
    <xf numFmtId="0" fontId="0" fillId="0" borderId="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13" borderId="54" xfId="0" applyFill="1" applyBorder="1" applyAlignment="1">
      <alignment horizontal="center" vertical="center"/>
    </xf>
    <xf numFmtId="0" fontId="0" fillId="13" borderId="24" xfId="0" applyFill="1" applyBorder="1" applyAlignment="1">
      <alignment horizontal="center" vertical="center"/>
    </xf>
    <xf numFmtId="0" fontId="17" fillId="5" borderId="56" xfId="8" applyFont="1" applyBorder="1" applyAlignment="1">
      <alignment horizontal="center" vertical="center"/>
    </xf>
    <xf numFmtId="0" fontId="17" fillId="13" borderId="42" xfId="0" applyFont="1" applyFill="1" applyBorder="1" applyAlignment="1">
      <alignment horizontal="center" vertical="center"/>
    </xf>
    <xf numFmtId="0" fontId="0" fillId="0" borderId="32" xfId="0" applyBorder="1"/>
    <xf numFmtId="0" fontId="0" fillId="0" borderId="57" xfId="0" applyBorder="1"/>
    <xf numFmtId="0" fontId="0" fillId="0" borderId="58" xfId="0" applyBorder="1" applyAlignment="1">
      <alignment horizontal="center" vertical="center"/>
    </xf>
    <xf numFmtId="0" fontId="0" fillId="0" borderId="59" xfId="0" applyBorder="1"/>
    <xf numFmtId="0" fontId="0" fillId="0" borderId="60" xfId="0" applyBorder="1" applyAlignment="1">
      <alignment horizontal="center" vertical="center"/>
    </xf>
    <xf numFmtId="0" fontId="0" fillId="0" borderId="61" xfId="0" applyBorder="1"/>
    <xf numFmtId="0" fontId="0" fillId="0" borderId="61" xfId="0" applyNumberFormat="1" applyBorder="1"/>
    <xf numFmtId="0" fontId="0" fillId="0" borderId="37" xfId="0" applyBorder="1" applyAlignment="1">
      <alignment horizontal="center" vertical="center"/>
    </xf>
    <xf numFmtId="0" fontId="0" fillId="0" borderId="38" xfId="0" applyBorder="1"/>
    <xf numFmtId="0" fontId="0" fillId="0" borderId="39" xfId="0" applyNumberFormat="1" applyBorder="1"/>
    <xf numFmtId="0" fontId="17" fillId="5" borderId="62" xfId="8" applyFont="1" applyBorder="1" applyAlignment="1">
      <alignment horizontal="center" vertical="center"/>
    </xf>
    <xf numFmtId="0" fontId="17" fillId="5" borderId="64" xfId="8" applyFont="1" applyBorder="1" applyAlignment="1">
      <alignment horizontal="center" vertical="center"/>
    </xf>
    <xf numFmtId="0" fontId="17" fillId="5" borderId="66" xfId="8" applyFont="1" applyBorder="1" applyAlignment="1">
      <alignment horizontal="center" vertical="center"/>
    </xf>
    <xf numFmtId="0" fontId="17" fillId="5" borderId="7" xfId="8" applyFont="1"/>
    <xf numFmtId="0" fontId="17" fillId="14" borderId="32" xfId="0" applyFont="1" applyFill="1" applyBorder="1" applyAlignment="1">
      <alignment horizontal="center" vertical="center" wrapText="1"/>
    </xf>
    <xf numFmtId="0" fontId="17" fillId="14" borderId="32" xfId="0" quotePrefix="1" applyFont="1" applyFill="1" applyBorder="1" applyAlignment="1">
      <alignment horizontal="center" vertical="center" wrapText="1"/>
    </xf>
    <xf numFmtId="0" fontId="0" fillId="5" borderId="50" xfId="8" applyFont="1" applyBorder="1"/>
    <xf numFmtId="0" fontId="0" fillId="0" borderId="0" xfId="0"/>
    <xf numFmtId="0" fontId="0" fillId="8" borderId="32" xfId="0" applyFill="1" applyBorder="1"/>
    <xf numFmtId="165" fontId="0" fillId="0" borderId="32" xfId="0" applyNumberFormat="1" applyBorder="1"/>
    <xf numFmtId="0" fontId="0" fillId="13" borderId="21" xfId="0" applyFill="1" applyBorder="1" applyAlignment="1">
      <alignment horizontal="center" vertical="center"/>
    </xf>
    <xf numFmtId="0" fontId="0" fillId="13" borderId="22" xfId="0" applyFill="1" applyBorder="1" applyAlignment="1">
      <alignment horizontal="center" vertical="center"/>
    </xf>
    <xf numFmtId="0" fontId="0" fillId="11" borderId="32" xfId="0" applyFill="1" applyBorder="1"/>
    <xf numFmtId="0" fontId="0" fillId="0" borderId="0" xfId="0" applyFill="1" applyBorder="1" applyAlignment="1">
      <alignment horizontal="center" vertical="center"/>
    </xf>
    <xf numFmtId="0" fontId="0" fillId="0" borderId="0" xfId="0" applyBorder="1"/>
    <xf numFmtId="0" fontId="0" fillId="0" borderId="20" xfId="0" applyBorder="1"/>
    <xf numFmtId="0" fontId="0" fillId="0" borderId="22" xfId="0" applyBorder="1"/>
    <xf numFmtId="0" fontId="0" fillId="0" borderId="23" xfId="0" applyBorder="1"/>
    <xf numFmtId="0" fontId="17" fillId="6" borderId="9" xfId="0" applyFont="1" applyFill="1" applyBorder="1" applyAlignment="1">
      <alignment horizontal="center" vertical="center"/>
    </xf>
    <xf numFmtId="0" fontId="17" fillId="6" borderId="11" xfId="0" applyFont="1" applyFill="1" applyBorder="1" applyAlignment="1">
      <alignment horizontal="center" vertical="center"/>
    </xf>
    <xf numFmtId="0" fontId="0" fillId="0" borderId="57" xfId="0" applyBorder="1" applyAlignment="1">
      <alignment horizontal="center" vertical="center"/>
    </xf>
    <xf numFmtId="0" fontId="0" fillId="0" borderId="32" xfId="0" applyBorder="1" applyAlignment="1">
      <alignment horizontal="center" vertical="center"/>
    </xf>
    <xf numFmtId="0" fontId="0" fillId="0" borderId="78" xfId="0" applyBorder="1" applyAlignment="1">
      <alignment horizontal="center" vertical="center"/>
    </xf>
    <xf numFmtId="0" fontId="17" fillId="13" borderId="21" xfId="0" applyFont="1" applyFill="1" applyBorder="1" applyAlignment="1">
      <alignment horizontal="center" vertical="center"/>
    </xf>
    <xf numFmtId="0" fontId="17" fillId="13" borderId="22" xfId="0" applyFont="1" applyFill="1" applyBorder="1" applyAlignment="1">
      <alignment horizontal="center" vertical="center"/>
    </xf>
    <xf numFmtId="0" fontId="17" fillId="0" borderId="32" xfId="0" applyFont="1" applyBorder="1"/>
    <xf numFmtId="0" fontId="0" fillId="0" borderId="80" xfId="0" applyBorder="1" applyAlignment="1">
      <alignment horizontal="left" vertical="center"/>
    </xf>
    <xf numFmtId="0" fontId="0" fillId="0" borderId="24" xfId="0" applyBorder="1" applyAlignment="1">
      <alignment horizontal="left" vertical="center"/>
    </xf>
    <xf numFmtId="0" fontId="0" fillId="0" borderId="76" xfId="0" applyBorder="1" applyAlignment="1">
      <alignment horizontal="left" vertical="center"/>
    </xf>
    <xf numFmtId="0" fontId="0" fillId="0" borderId="29" xfId="0" applyBorder="1" applyAlignment="1">
      <alignment horizontal="left" vertical="center"/>
    </xf>
    <xf numFmtId="0" fontId="0" fillId="0" borderId="77" xfId="0" applyBorder="1" applyAlignment="1">
      <alignment horizontal="left" vertical="center"/>
    </xf>
    <xf numFmtId="0" fontId="0" fillId="0" borderId="81" xfId="0" applyBorder="1" applyAlignment="1">
      <alignment horizontal="left" vertical="center"/>
    </xf>
    <xf numFmtId="0" fontId="1" fillId="3" borderId="16" xfId="2" applyBorder="1" applyAlignment="1">
      <alignment horizontal="center" vertical="center" wrapText="1"/>
    </xf>
    <xf numFmtId="0" fontId="1" fillId="3" borderId="17" xfId="2" applyBorder="1" applyAlignment="1">
      <alignment horizontal="center" vertical="center" wrapText="1"/>
    </xf>
    <xf numFmtId="0" fontId="1" fillId="3" borderId="18" xfId="2" applyBorder="1" applyAlignment="1">
      <alignment horizontal="center" vertical="center" wrapText="1"/>
    </xf>
    <xf numFmtId="0" fontId="1" fillId="3" borderId="19" xfId="2" applyBorder="1" applyAlignment="1">
      <alignment horizontal="center" vertical="center" wrapText="1"/>
    </xf>
    <xf numFmtId="0" fontId="1" fillId="3" borderId="0" xfId="2" applyBorder="1" applyAlignment="1">
      <alignment horizontal="center" vertical="center" wrapText="1"/>
    </xf>
    <xf numFmtId="0" fontId="1" fillId="3" borderId="20" xfId="2" applyBorder="1" applyAlignment="1">
      <alignment horizontal="center" vertical="center" wrapText="1"/>
    </xf>
    <xf numFmtId="0" fontId="1" fillId="3" borderId="21" xfId="2" applyBorder="1" applyAlignment="1">
      <alignment horizontal="center" vertical="center" wrapText="1"/>
    </xf>
    <xf numFmtId="0" fontId="1" fillId="3" borderId="22" xfId="2" applyBorder="1" applyAlignment="1">
      <alignment horizontal="center" vertical="center" wrapText="1"/>
    </xf>
    <xf numFmtId="0" fontId="1" fillId="3" borderId="23" xfId="2" applyBorder="1" applyAlignment="1">
      <alignment horizontal="center" vertical="center" wrapText="1"/>
    </xf>
    <xf numFmtId="0" fontId="17" fillId="5" borderId="41" xfId="8" applyFont="1" applyBorder="1" applyAlignment="1">
      <alignment horizontal="center" vertical="center"/>
    </xf>
    <xf numFmtId="0" fontId="17" fillId="5" borderId="42" xfId="8" applyFont="1" applyBorder="1" applyAlignment="1">
      <alignment horizontal="center" vertical="center"/>
    </xf>
    <xf numFmtId="0" fontId="17" fillId="5" borderId="43" xfId="8" applyFont="1" applyBorder="1" applyAlignment="1">
      <alignment horizontal="center" vertical="center"/>
    </xf>
    <xf numFmtId="0" fontId="17" fillId="13" borderId="79" xfId="0" applyFont="1" applyFill="1" applyBorder="1" applyAlignment="1">
      <alignment horizontal="center" vertical="center"/>
    </xf>
    <xf numFmtId="0" fontId="0" fillId="5" borderId="82" xfId="8" applyFont="1" applyBorder="1"/>
    <xf numFmtId="0" fontId="0" fillId="5" borderId="83" xfId="8" applyFont="1" applyBorder="1"/>
    <xf numFmtId="0" fontId="0" fillId="5" borderId="84" xfId="8" applyFont="1" applyBorder="1"/>
    <xf numFmtId="0" fontId="0" fillId="5" borderId="50" xfId="8" applyFont="1" applyBorder="1"/>
    <xf numFmtId="0" fontId="0" fillId="5" borderId="51" xfId="8" applyFont="1" applyBorder="1"/>
    <xf numFmtId="0" fontId="0" fillId="5" borderId="52" xfId="8" applyFont="1" applyBorder="1"/>
    <xf numFmtId="0" fontId="0" fillId="5" borderId="7" xfId="8" applyFont="1" applyBorder="1"/>
    <xf numFmtId="0" fontId="0" fillId="5" borderId="65" xfId="8" applyFont="1" applyBorder="1"/>
    <xf numFmtId="0" fontId="0" fillId="5" borderId="67" xfId="8" applyFont="1" applyBorder="1"/>
    <xf numFmtId="0" fontId="0" fillId="5" borderId="68" xfId="8" applyFont="1" applyBorder="1"/>
    <xf numFmtId="0" fontId="17" fillId="13" borderId="41" xfId="0" applyFont="1" applyFill="1" applyBorder="1" applyAlignment="1">
      <alignment horizontal="center"/>
    </xf>
    <xf numFmtId="0" fontId="17" fillId="13" borderId="42" xfId="0" applyFont="1" applyFill="1" applyBorder="1" applyAlignment="1">
      <alignment horizontal="center"/>
    </xf>
    <xf numFmtId="0" fontId="17" fillId="13" borderId="43" xfId="0" applyFont="1" applyFill="1" applyBorder="1" applyAlignment="1">
      <alignment horizontal="center"/>
    </xf>
    <xf numFmtId="0" fontId="0" fillId="5" borderId="7" xfId="8" applyFont="1" applyAlignment="1">
      <alignment horizontal="left" wrapText="1"/>
    </xf>
    <xf numFmtId="0" fontId="19" fillId="5" borderId="41" xfId="8" applyFont="1" applyBorder="1" applyAlignment="1">
      <alignment horizontal="center"/>
    </xf>
    <xf numFmtId="0" fontId="19" fillId="5" borderId="42" xfId="8" applyFont="1" applyBorder="1" applyAlignment="1">
      <alignment horizontal="center"/>
    </xf>
    <xf numFmtId="0" fontId="19" fillId="5" borderId="43" xfId="8" applyFont="1" applyBorder="1" applyAlignment="1">
      <alignment horizontal="center"/>
    </xf>
    <xf numFmtId="0" fontId="0" fillId="5" borderId="45" xfId="8" applyFont="1" applyBorder="1"/>
    <xf numFmtId="0" fontId="0" fillId="5" borderId="63" xfId="8" applyFont="1" applyBorder="1"/>
    <xf numFmtId="0" fontId="17" fillId="5" borderId="7" xfId="8" applyFont="1"/>
    <xf numFmtId="0" fontId="17" fillId="5" borderId="44" xfId="8" applyFont="1" applyBorder="1"/>
    <xf numFmtId="0" fontId="0" fillId="5" borderId="47" xfId="8" applyFont="1" applyBorder="1"/>
    <xf numFmtId="0" fontId="0" fillId="5" borderId="48" xfId="8" applyFont="1" applyBorder="1"/>
    <xf numFmtId="0" fontId="0" fillId="5" borderId="49" xfId="8" applyFont="1" applyBorder="1"/>
    <xf numFmtId="0" fontId="17" fillId="5" borderId="56" xfId="8" applyFont="1" applyBorder="1" applyAlignment="1">
      <alignment horizontal="center" wrapText="1"/>
    </xf>
    <xf numFmtId="0" fontId="0" fillId="5" borderId="49" xfId="8" applyFont="1" applyBorder="1" applyAlignment="1">
      <alignment horizontal="left" vertical="center" textRotation="90" wrapText="1"/>
    </xf>
    <xf numFmtId="0" fontId="0" fillId="5" borderId="74" xfId="8" applyFont="1" applyBorder="1" applyAlignment="1">
      <alignment horizontal="left" vertical="center" textRotation="90" wrapText="1"/>
    </xf>
    <xf numFmtId="0" fontId="0" fillId="5" borderId="75" xfId="8" applyFont="1" applyBorder="1" applyAlignment="1">
      <alignment horizontal="left" vertical="center" textRotation="90" wrapText="1"/>
    </xf>
    <xf numFmtId="0" fontId="0" fillId="0" borderId="0" xfId="0" applyAlignment="1">
      <alignment horizontal="left" vertical="center" wrapText="1"/>
    </xf>
    <xf numFmtId="0" fontId="0" fillId="0" borderId="0" xfId="0"/>
    <xf numFmtId="0" fontId="0" fillId="0" borderId="31" xfId="0" applyBorder="1"/>
    <xf numFmtId="0" fontId="7" fillId="0" borderId="6" xfId="7" applyAlignment="1"/>
    <xf numFmtId="0" fontId="0" fillId="5" borderId="7" xfId="8" applyFont="1"/>
    <xf numFmtId="0" fontId="17" fillId="5" borderId="53" xfId="8" applyFont="1" applyBorder="1"/>
    <xf numFmtId="0" fontId="17" fillId="5" borderId="46" xfId="8" applyFont="1" applyBorder="1"/>
    <xf numFmtId="0" fontId="17" fillId="13" borderId="54" xfId="0" applyFont="1" applyFill="1" applyBorder="1" applyAlignment="1">
      <alignment horizontal="center"/>
    </xf>
    <xf numFmtId="0" fontId="17" fillId="13" borderId="24" xfId="0" applyFont="1" applyFill="1" applyBorder="1" applyAlignment="1">
      <alignment horizontal="center"/>
    </xf>
    <xf numFmtId="0" fontId="17" fillId="13" borderId="55" xfId="0" applyFont="1" applyFill="1" applyBorder="1" applyAlignment="1">
      <alignment horizontal="center"/>
    </xf>
    <xf numFmtId="0" fontId="0" fillId="13" borderId="22" xfId="0" applyFill="1" applyBorder="1" applyAlignment="1">
      <alignment horizontal="center" vertical="center"/>
    </xf>
    <xf numFmtId="0" fontId="0" fillId="13" borderId="23" xfId="0" applyFill="1" applyBorder="1" applyAlignment="1">
      <alignment horizontal="center" vertical="center"/>
    </xf>
    <xf numFmtId="0" fontId="0" fillId="0" borderId="26" xfId="0" applyBorder="1" applyAlignment="1">
      <alignment horizontal="left" vertical="center"/>
    </xf>
    <xf numFmtId="0" fontId="0" fillId="0" borderId="27" xfId="0" applyBorder="1" applyAlignment="1">
      <alignment horizontal="left" vertical="center"/>
    </xf>
    <xf numFmtId="0" fontId="0" fillId="0" borderId="30" xfId="0" applyBorder="1" applyAlignment="1">
      <alignment horizontal="left" vertical="center"/>
    </xf>
    <xf numFmtId="0" fontId="5" fillId="0" borderId="4" xfId="5"/>
    <xf numFmtId="0" fontId="0" fillId="13" borderId="24" xfId="0" applyFill="1" applyBorder="1" applyAlignment="1">
      <alignment horizontal="center" vertical="center"/>
    </xf>
    <xf numFmtId="0" fontId="0" fillId="13" borderId="55" xfId="0" applyFill="1" applyBorder="1" applyAlignment="1">
      <alignment horizontal="center"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6" borderId="24" xfId="0" applyFill="1" applyBorder="1" applyAlignment="1">
      <alignment horizontal="center" vertical="center"/>
    </xf>
    <xf numFmtId="1" fontId="0" fillId="7" borderId="16" xfId="0" applyNumberFormat="1" applyFill="1" applyBorder="1" applyAlignment="1">
      <alignment horizontal="center" vertical="center"/>
    </xf>
    <xf numFmtId="1" fontId="0" fillId="7" borderId="21" xfId="0" applyNumberFormat="1" applyFill="1" applyBorder="1" applyAlignment="1">
      <alignment horizontal="center" vertical="center"/>
    </xf>
    <xf numFmtId="0" fontId="17" fillId="13" borderId="18" xfId="0" applyFont="1" applyFill="1" applyBorder="1" applyAlignment="1">
      <alignment horizontal="center" vertical="center" wrapText="1"/>
    </xf>
    <xf numFmtId="0" fontId="17" fillId="13" borderId="23" xfId="0" applyFont="1" applyFill="1" applyBorder="1" applyAlignment="1">
      <alignment horizontal="center" vertical="center" wrapText="1"/>
    </xf>
    <xf numFmtId="0" fontId="6" fillId="0" borderId="5" xfId="6" applyAlignment="1">
      <alignment horizontal="center" vertical="center"/>
    </xf>
    <xf numFmtId="0" fontId="17" fillId="9" borderId="34" xfId="0" applyFont="1" applyFill="1" applyBorder="1" applyAlignment="1">
      <alignment horizontal="center"/>
    </xf>
    <xf numFmtId="0" fontId="17" fillId="9" borderId="35" xfId="0" applyFont="1" applyFill="1" applyBorder="1" applyAlignment="1">
      <alignment horizontal="center"/>
    </xf>
    <xf numFmtId="0" fontId="17" fillId="15" borderId="71" xfId="8" applyFont="1" applyFill="1" applyBorder="1" applyAlignment="1">
      <alignment horizontal="center"/>
    </xf>
    <xf numFmtId="0" fontId="17" fillId="15" borderId="72" xfId="8" applyFont="1" applyFill="1" applyBorder="1" applyAlignment="1">
      <alignment horizontal="center"/>
    </xf>
    <xf numFmtId="0" fontId="17" fillId="15" borderId="73" xfId="8" applyFont="1" applyFill="1" applyBorder="1" applyAlignment="1">
      <alignment horizontal="center"/>
    </xf>
    <xf numFmtId="0" fontId="0" fillId="0" borderId="69" xfId="0" applyBorder="1" applyAlignment="1">
      <alignment horizontal="left" vertical="center"/>
    </xf>
    <xf numFmtId="0" fontId="0" fillId="0" borderId="70" xfId="0" applyBorder="1" applyAlignment="1">
      <alignment horizontal="left" vertical="center"/>
    </xf>
    <xf numFmtId="0" fontId="14" fillId="0" borderId="8" xfId="0" applyFont="1" applyBorder="1" applyAlignment="1">
      <alignment horizontal="center" vertical="center" wrapText="1"/>
    </xf>
  </cellXfs>
  <cellStyles count="9">
    <cellStyle name="Calculation" xfId="3" builtinId="22" customBuiltin="1"/>
    <cellStyle name="Check Cell" xfId="4" builtinId="23" customBuiltin="1"/>
    <cellStyle name="Heading 1" xfId="5" builtinId="16" customBuiltin="1"/>
    <cellStyle name="Heading 2" xfId="6" builtinId="17" customBuiltin="1"/>
    <cellStyle name="Heading 3" xfId="7" builtinId="18" customBuiltin="1"/>
    <cellStyle name="Input" xfId="1" builtinId="20" customBuiltin="1"/>
    <cellStyle name="Normal" xfId="0" builtinId="0" customBuiltin="1"/>
    <cellStyle name="Note" xfId="8" builtinId="10"/>
    <cellStyle name="Output" xfId="2" builtinId="21" customBuiltin="1"/>
  </cellStyles>
  <dxfs count="1">
    <dxf>
      <font>
        <b/>
        <i val="0"/>
        <color rgb="FFFF0000"/>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Graphical Representation of</a:t>
            </a:r>
            <a:r>
              <a:rPr lang="en-US" b="1" baseline="0"/>
              <a:t> Convex Set</a:t>
            </a:r>
            <a:endParaRPr lang="en-US" b="1"/>
          </a:p>
        </c:rich>
      </c:tx>
      <c:layout>
        <c:manualLayout>
          <c:xMode val="edge"/>
          <c:yMode val="edge"/>
          <c:x val="0.29680045676108668"/>
          <c:y val="2.2440361558547041E-2"/>
        </c:manualLayout>
      </c:layout>
      <c:overlay val="0"/>
      <c:spPr>
        <a:solidFill>
          <a:schemeClr val="bg1"/>
        </a:solidFill>
        <a:ln>
          <a:solidFill>
            <a:schemeClr val="accent1">
              <a:shade val="50000"/>
            </a:schemeClr>
          </a:solidFill>
        </a:ln>
        <a:effectLst/>
      </c:spPr>
      <c:txPr>
        <a:bodyPr rot="0" spcFirstLastPara="1" vertOverflow="ellipsis" vert="horz" wrap="square" anchor="ctr" anchorCtr="1"/>
        <a:lstStyle/>
        <a:p>
          <a:pPr>
            <a:defRPr sz="132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0.15791480330765456"/>
          <c:y val="4.4672694793413806E-2"/>
          <c:w val="0.75773178916563444"/>
          <c:h val="0.76192060584069399"/>
        </c:manualLayout>
      </c:layout>
      <c:scatterChart>
        <c:scatterStyle val="lineMarker"/>
        <c:varyColors val="0"/>
        <c:ser>
          <c:idx val="0"/>
          <c:order val="0"/>
          <c:tx>
            <c:v>C3</c:v>
          </c:tx>
          <c:spPr>
            <a:ln w="28575" cap="rnd">
              <a:solidFill>
                <a:schemeClr val="accent1"/>
              </a:solidFill>
              <a:round/>
            </a:ln>
            <a:effectLst/>
          </c:spPr>
          <c:marker>
            <c:symbol val="circle"/>
            <c:size val="5"/>
            <c:spPr>
              <a:solidFill>
                <a:schemeClr val="accent4">
                  <a:alpha val="70000"/>
                </a:schemeClr>
              </a:solidFill>
              <a:ln w="9525">
                <a:solidFill>
                  <a:schemeClr val="accent1"/>
                </a:solidFill>
              </a:ln>
              <a:effectLst/>
            </c:spPr>
          </c:marker>
          <c:xVal>
            <c:numRef>
              <c:f>'Problem 2.3'!$B$41:$B$42</c:f>
              <c:numCache>
                <c:formatCode>General</c:formatCode>
                <c:ptCount val="2"/>
                <c:pt idx="0">
                  <c:v>0</c:v>
                </c:pt>
                <c:pt idx="1">
                  <c:v>10000</c:v>
                </c:pt>
              </c:numCache>
            </c:numRef>
          </c:xVal>
          <c:yVal>
            <c:numRef>
              <c:f>'Problem 2.3'!$C$41:$C$42</c:f>
              <c:numCache>
                <c:formatCode>General</c:formatCode>
                <c:ptCount val="2"/>
                <c:pt idx="0">
                  <c:v>10000</c:v>
                </c:pt>
                <c:pt idx="1">
                  <c:v>0</c:v>
                </c:pt>
              </c:numCache>
            </c:numRef>
          </c:yVal>
          <c:smooth val="0"/>
          <c:extLst>
            <c:ext xmlns:c16="http://schemas.microsoft.com/office/drawing/2014/chart" uri="{C3380CC4-5D6E-409C-BE32-E72D297353CC}">
              <c16:uniqueId val="{00000002-5D06-4E39-A078-C7720B95C70D}"/>
            </c:ext>
          </c:extLst>
        </c:ser>
        <c:ser>
          <c:idx val="1"/>
          <c:order val="1"/>
          <c:tx>
            <c:v>C4</c:v>
          </c:tx>
          <c:spPr>
            <a:ln w="28575" cap="rnd">
              <a:solidFill>
                <a:schemeClr val="accent2"/>
              </a:solidFill>
              <a:round/>
            </a:ln>
            <a:effectLst/>
          </c:spPr>
          <c:marker>
            <c:symbol val="circle"/>
            <c:size val="5"/>
            <c:spPr>
              <a:solidFill>
                <a:schemeClr val="accent6">
                  <a:alpha val="70000"/>
                </a:schemeClr>
              </a:solidFill>
              <a:ln w="9525">
                <a:solidFill>
                  <a:schemeClr val="accent2"/>
                </a:solidFill>
              </a:ln>
              <a:effectLst/>
            </c:spPr>
          </c:marker>
          <c:xVal>
            <c:numRef>
              <c:f>'Problem 2.3'!$B$43:$B$44</c:f>
              <c:numCache>
                <c:formatCode>General</c:formatCode>
                <c:ptCount val="2"/>
                <c:pt idx="0">
                  <c:v>0</c:v>
                </c:pt>
                <c:pt idx="1">
                  <c:v>7000</c:v>
                </c:pt>
              </c:numCache>
            </c:numRef>
          </c:xVal>
          <c:yVal>
            <c:numRef>
              <c:f>'Problem 2.3'!$C$43:$C$44</c:f>
              <c:numCache>
                <c:formatCode>General</c:formatCode>
                <c:ptCount val="2"/>
                <c:pt idx="0">
                  <c:v>14000</c:v>
                </c:pt>
                <c:pt idx="1">
                  <c:v>0</c:v>
                </c:pt>
              </c:numCache>
            </c:numRef>
          </c:yVal>
          <c:smooth val="0"/>
          <c:extLst>
            <c:ext xmlns:c16="http://schemas.microsoft.com/office/drawing/2014/chart" uri="{C3380CC4-5D6E-409C-BE32-E72D297353CC}">
              <c16:uniqueId val="{00000003-5D06-4E39-A078-C7720B95C70D}"/>
            </c:ext>
          </c:extLst>
        </c:ser>
        <c:ser>
          <c:idx val="2"/>
          <c:order val="2"/>
          <c:tx>
            <c:v>C5</c:v>
          </c:tx>
          <c:spPr>
            <a:ln w="28575" cap="rnd">
              <a:solidFill>
                <a:schemeClr val="accent3"/>
              </a:solidFill>
              <a:round/>
            </a:ln>
            <a:effectLst/>
          </c:spPr>
          <c:marker>
            <c:symbol val="circle"/>
            <c:size val="5"/>
            <c:spPr>
              <a:solidFill>
                <a:schemeClr val="accent1">
                  <a:alpha val="26000"/>
                </a:schemeClr>
              </a:solidFill>
              <a:ln w="9525">
                <a:solidFill>
                  <a:schemeClr val="accent3"/>
                </a:solidFill>
              </a:ln>
              <a:effectLst/>
            </c:spPr>
          </c:marker>
          <c:xVal>
            <c:numRef>
              <c:f>'Problem 2.3'!$B$45:$B$46</c:f>
              <c:numCache>
                <c:formatCode>General</c:formatCode>
                <c:ptCount val="2"/>
                <c:pt idx="0">
                  <c:v>0</c:v>
                </c:pt>
                <c:pt idx="1">
                  <c:v>18000</c:v>
                </c:pt>
              </c:numCache>
            </c:numRef>
          </c:xVal>
          <c:yVal>
            <c:numRef>
              <c:f>'Problem 2.3'!$C$45:$C$46</c:f>
              <c:numCache>
                <c:formatCode>General</c:formatCode>
                <c:ptCount val="2"/>
                <c:pt idx="0">
                  <c:v>9000</c:v>
                </c:pt>
                <c:pt idx="1">
                  <c:v>0</c:v>
                </c:pt>
              </c:numCache>
            </c:numRef>
          </c:yVal>
          <c:smooth val="0"/>
          <c:extLst>
            <c:ext xmlns:c16="http://schemas.microsoft.com/office/drawing/2014/chart" uri="{C3380CC4-5D6E-409C-BE32-E72D297353CC}">
              <c16:uniqueId val="{00000004-5D06-4E39-A078-C7720B95C70D}"/>
            </c:ext>
          </c:extLst>
        </c:ser>
        <c:ser>
          <c:idx val="3"/>
          <c:order val="3"/>
          <c:tx>
            <c:v>C6</c:v>
          </c:tx>
          <c:spPr>
            <a:ln w="28575" cap="rnd">
              <a:solidFill>
                <a:schemeClr val="accent4"/>
              </a:solidFill>
              <a:round/>
            </a:ln>
            <a:effectLst/>
          </c:spPr>
          <c:marker>
            <c:symbol val="circle"/>
            <c:size val="5"/>
            <c:spPr>
              <a:solidFill>
                <a:schemeClr val="accent1">
                  <a:alpha val="26000"/>
                </a:schemeClr>
              </a:solidFill>
              <a:ln w="9525">
                <a:solidFill>
                  <a:schemeClr val="accent4"/>
                </a:solidFill>
              </a:ln>
              <a:effectLst/>
            </c:spPr>
          </c:marker>
          <c:xVal>
            <c:numRef>
              <c:f>'Problem 2.3'!$B$47:$B$48</c:f>
              <c:numCache>
                <c:formatCode>General</c:formatCode>
                <c:ptCount val="2"/>
                <c:pt idx="0">
                  <c:v>6000</c:v>
                </c:pt>
                <c:pt idx="1">
                  <c:v>6000</c:v>
                </c:pt>
              </c:numCache>
            </c:numRef>
          </c:xVal>
          <c:yVal>
            <c:numRef>
              <c:f>'Problem 2.3'!$C$47:$C$48</c:f>
              <c:numCache>
                <c:formatCode>General</c:formatCode>
                <c:ptCount val="2"/>
                <c:pt idx="0">
                  <c:v>14000</c:v>
                </c:pt>
                <c:pt idx="1">
                  <c:v>0</c:v>
                </c:pt>
              </c:numCache>
            </c:numRef>
          </c:yVal>
          <c:smooth val="0"/>
          <c:extLst>
            <c:ext xmlns:c16="http://schemas.microsoft.com/office/drawing/2014/chart" uri="{C3380CC4-5D6E-409C-BE32-E72D297353CC}">
              <c16:uniqueId val="{00000005-5D06-4E39-A078-C7720B95C70D}"/>
            </c:ext>
          </c:extLst>
        </c:ser>
        <c:ser>
          <c:idx val="4"/>
          <c:order val="4"/>
          <c:tx>
            <c:v>C1</c:v>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'Problem 2.3'!$B$37:$B$38</c:f>
              <c:numCache>
                <c:formatCode>General</c:formatCode>
                <c:ptCount val="2"/>
                <c:pt idx="0">
                  <c:v>0</c:v>
                </c:pt>
                <c:pt idx="1">
                  <c:v>0</c:v>
                </c:pt>
              </c:numCache>
            </c:numRef>
          </c:xVal>
          <c:yVal>
            <c:numRef>
              <c:f>'Problem 2.3'!$C$37:$C$38</c:f>
              <c:numCache>
                <c:formatCode>General</c:formatCode>
                <c:ptCount val="2"/>
                <c:pt idx="0">
                  <c:v>0</c:v>
                </c:pt>
                <c:pt idx="1">
                  <c:v>14000</c:v>
                </c:pt>
              </c:numCache>
            </c:numRef>
          </c:yVal>
          <c:smooth val="0"/>
          <c:extLst>
            <c:ext xmlns:c16="http://schemas.microsoft.com/office/drawing/2014/chart" uri="{C3380CC4-5D6E-409C-BE32-E72D297353CC}">
              <c16:uniqueId val="{00000006-5D06-4E39-A078-C7720B95C70D}"/>
            </c:ext>
          </c:extLst>
        </c:ser>
        <c:ser>
          <c:idx val="5"/>
          <c:order val="5"/>
          <c:tx>
            <c:v>C2</c:v>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'Problem 2.3'!$B$39:$B$40</c:f>
              <c:numCache>
                <c:formatCode>General</c:formatCode>
                <c:ptCount val="2"/>
                <c:pt idx="0">
                  <c:v>0</c:v>
                </c:pt>
                <c:pt idx="1">
                  <c:v>18000</c:v>
                </c:pt>
              </c:numCache>
            </c:numRef>
          </c:xVal>
          <c:yVal>
            <c:numRef>
              <c:f>'Problem 2.3'!$C$39:$C$40</c:f>
              <c:numCache>
                <c:formatCode>General</c:formatCode>
                <c:ptCount val="2"/>
                <c:pt idx="0">
                  <c:v>0</c:v>
                </c:pt>
                <c:pt idx="1">
                  <c:v>0</c:v>
                </c:pt>
              </c:numCache>
            </c:numRef>
          </c:yVal>
          <c:smooth val="0"/>
          <c:extLst>
            <c:ext xmlns:c16="http://schemas.microsoft.com/office/drawing/2014/chart" uri="{C3380CC4-5D6E-409C-BE32-E72D297353CC}">
              <c16:uniqueId val="{00000007-5D06-4E39-A078-C7720B95C70D}"/>
            </c:ext>
          </c:extLst>
        </c:ser>
        <c:ser>
          <c:idx val="6"/>
          <c:order val="6"/>
          <c:tx>
            <c:v>Optimal Solution</c:v>
          </c:tx>
          <c:spPr>
            <a:ln w="28575" cap="rnd">
              <a:noFill/>
              <a:round/>
            </a:ln>
            <a:effectLst/>
          </c:spPr>
          <c:marker>
            <c:symbol val="square"/>
            <c:size val="10"/>
            <c:spPr>
              <a:solidFill>
                <a:srgbClr val="FF0000"/>
              </a:solidFill>
              <a:ln w="9525">
                <a:solidFill>
                  <a:schemeClr val="tx1"/>
                </a:solidFill>
              </a:ln>
              <a:effectLst/>
            </c:spPr>
          </c:marker>
          <c:dLbls>
            <c:dLbl>
              <c:idx val="0"/>
              <c:layout>
                <c:manualLayout>
                  <c:x val="1.6985138004246208E-2"/>
                  <c:y val="-8.743164382964369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E2C-4658-AC72-EE3B2AC8EF3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'Problem 2.3'!$H$60</c:f>
              <c:numCache>
                <c:formatCode>General</c:formatCode>
                <c:ptCount val="1"/>
                <c:pt idx="0">
                  <c:v>2000</c:v>
                </c:pt>
              </c:numCache>
            </c:numRef>
          </c:xVal>
          <c:yVal>
            <c:numRef>
              <c:f>'Problem 2.3'!$I$60</c:f>
              <c:numCache>
                <c:formatCode>General</c:formatCode>
                <c:ptCount val="1"/>
                <c:pt idx="0">
                  <c:v>8000</c:v>
                </c:pt>
              </c:numCache>
            </c:numRef>
          </c:yVal>
          <c:smooth val="0"/>
          <c:extLst>
            <c:ext xmlns:c16="http://schemas.microsoft.com/office/drawing/2014/chart" uri="{C3380CC4-5D6E-409C-BE32-E72D297353CC}">
              <c16:uniqueId val="{00000001-EE2C-4658-AC72-EE3B2AC8EF30}"/>
            </c:ext>
          </c:extLst>
        </c:ser>
        <c:ser>
          <c:idx val="7"/>
          <c:order val="7"/>
          <c:tx>
            <c:v>Obj Func Line</c:v>
          </c:tx>
          <c:spPr>
            <a:ln w="34925" cap="rnd">
              <a:solidFill>
                <a:schemeClr val="accent2">
                  <a:lumMod val="60000"/>
                </a:schemeClr>
              </a:solidFill>
              <a:prstDash val="dash"/>
              <a:round/>
            </a:ln>
            <a:effectLst/>
          </c:spPr>
          <c:marker>
            <c:symbol val="none"/>
          </c:marker>
          <c:xVal>
            <c:numRef>
              <c:f>'Problem 2.3'!$G$66:$J$66</c:f>
              <c:numCache>
                <c:formatCode>General</c:formatCode>
                <c:ptCount val="4"/>
                <c:pt idx="0">
                  <c:v>0</c:v>
                </c:pt>
                <c:pt idx="1">
                  <c:v>2000</c:v>
                </c:pt>
                <c:pt idx="2">
                  <c:v>5000</c:v>
                </c:pt>
                <c:pt idx="3">
                  <c:v>11600</c:v>
                </c:pt>
              </c:numCache>
            </c:numRef>
          </c:xVal>
          <c:yVal>
            <c:numRef>
              <c:f>'Problem 2.3'!$G$67:$J$67</c:f>
              <c:numCache>
                <c:formatCode>General</c:formatCode>
                <c:ptCount val="4"/>
                <c:pt idx="0">
                  <c:v>9666.6666666666661</c:v>
                </c:pt>
                <c:pt idx="1">
                  <c:v>7999.9999999999991</c:v>
                </c:pt>
                <c:pt idx="2">
                  <c:v>5499.9999999999991</c:v>
                </c:pt>
                <c:pt idx="3">
                  <c:v>0</c:v>
                </c:pt>
              </c:numCache>
            </c:numRef>
          </c:yVal>
          <c:smooth val="0"/>
          <c:extLst>
            <c:ext xmlns:c16="http://schemas.microsoft.com/office/drawing/2014/chart" uri="{C3380CC4-5D6E-409C-BE32-E72D297353CC}">
              <c16:uniqueId val="{00000002-EE2C-4658-AC72-EE3B2AC8EF30}"/>
            </c:ext>
          </c:extLst>
        </c:ser>
        <c:dLbls>
          <c:showLegendKey val="0"/>
          <c:showVal val="0"/>
          <c:showCatName val="0"/>
          <c:showSerName val="0"/>
          <c:showPercent val="0"/>
          <c:showBubbleSize val="0"/>
        </c:dLbls>
        <c:axId val="298048240"/>
        <c:axId val="801539872"/>
      </c:scatterChart>
      <c:valAx>
        <c:axId val="298048240"/>
        <c:scaling>
          <c:orientation val="minMax"/>
          <c:max val="18000"/>
          <c:min val="0"/>
        </c:scaling>
        <c:delete val="0"/>
        <c:axPos val="b"/>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200" b="1"/>
                  <a:t>A</a:t>
                </a:r>
                <a:r>
                  <a:rPr lang="en-US" sz="1200" b="1" baseline="-25000"/>
                  <a:t>h</a:t>
                </a:r>
                <a:r>
                  <a:rPr lang="en-US" sz="1200" b="1"/>
                  <a:t> (acre)</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801539872"/>
        <c:crosses val="autoZero"/>
        <c:crossBetween val="midCat"/>
      </c:valAx>
      <c:valAx>
        <c:axId val="801539872"/>
        <c:scaling>
          <c:orientation val="minMax"/>
          <c:max val="14000"/>
        </c:scaling>
        <c:delete val="0"/>
        <c:axPos val="l"/>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200" b="1"/>
                  <a:t>A</a:t>
                </a:r>
                <a:r>
                  <a:rPr lang="en-US" sz="1200" b="1" baseline="-25000"/>
                  <a:t>g</a:t>
                </a:r>
                <a:r>
                  <a:rPr lang="en-US" sz="1200" b="1"/>
                  <a:t> (acre)</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a:solidFill>
              <a:schemeClr val="accent1">
                <a:shade val="50000"/>
              </a:schemeClr>
            </a:solid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298048240"/>
        <c:crosses val="autoZero"/>
        <c:crossBetween val="midCat"/>
      </c:valAx>
      <c:spPr>
        <a:noFill/>
        <a:ln>
          <a:noFill/>
        </a:ln>
        <a:effectLst/>
      </c:spPr>
    </c:plotArea>
    <c:legend>
      <c:legendPos val="r"/>
      <c:layout>
        <c:manualLayout>
          <c:xMode val="edge"/>
          <c:yMode val="edge"/>
          <c:x val="0.67552868391451082"/>
          <c:y val="0.10379725267286108"/>
          <c:w val="0.24114716552150725"/>
          <c:h val="0.52628342080322377"/>
        </c:manualLayout>
      </c:layout>
      <c:overlay val="0"/>
      <c:spPr>
        <a:solidFill>
          <a:schemeClr val="bg1"/>
        </a:solidFill>
        <a:ln>
          <a:solidFill>
            <a:schemeClr val="accent1">
              <a:shade val="50000"/>
            </a:schemeClr>
          </a:solid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19049</xdr:colOff>
      <xdr:row>0</xdr:row>
      <xdr:rowOff>552449</xdr:rowOff>
    </xdr:from>
    <xdr:to>
      <xdr:col>4</xdr:col>
      <xdr:colOff>95248</xdr:colOff>
      <xdr:row>3</xdr:row>
      <xdr:rowOff>180975</xdr:rowOff>
    </xdr:to>
    <xdr:sp macro="[0]!copySheets" textlink="">
      <xdr:nvSpPr>
        <xdr:cNvPr id="2" name="Oval 1">
          <a:extLst>
            <a:ext uri="{FF2B5EF4-FFF2-40B4-BE49-F238E27FC236}">
              <a16:creationId xmlns:a16="http://schemas.microsoft.com/office/drawing/2014/main" id="{D988F545-87A9-4BFA-A5EA-EE7D6C036EB7}"/>
            </a:ext>
          </a:extLst>
        </xdr:cNvPr>
        <xdr:cNvSpPr/>
      </xdr:nvSpPr>
      <xdr:spPr>
        <a:xfrm>
          <a:off x="2633662" y="542925"/>
          <a:ext cx="2128837" cy="12382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Copy Problem</a:t>
          </a:r>
          <a:r>
            <a:rPr lang="en-US" sz="1600" b="1" baseline="0"/>
            <a:t> Template</a:t>
          </a:r>
          <a:endParaRPr lang="en-US" sz="1600" b="1"/>
        </a:p>
      </xdr:txBody>
    </xdr:sp>
    <xdr:clientData fPrintsWithSheet="0"/>
  </xdr:twoCellAnchor>
</xdr:wsDr>
</file>

<file path=xl/drawings/drawing2.xml><?xml version="1.0" encoding="utf-8"?>
<xdr:wsDr xmlns:xdr="http://schemas.openxmlformats.org/drawingml/2006/spreadsheetDrawing" xmlns:a="http://schemas.openxmlformats.org/drawingml/2006/main">
  <xdr:oneCellAnchor>
    <xdr:from>
      <xdr:col>1</xdr:col>
      <xdr:colOff>71438</xdr:colOff>
      <xdr:row>19</xdr:row>
      <xdr:rowOff>80961</xdr:rowOff>
    </xdr:from>
    <xdr:ext cx="2314575" cy="96202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30B630D-031A-45B8-8D29-6976B909668F}"/>
                </a:ext>
              </a:extLst>
            </xdr:cNvPr>
            <xdr:cNvSpPr txBox="1"/>
          </xdr:nvSpPr>
          <xdr:spPr>
            <a:xfrm>
              <a:off x="757238" y="5257799"/>
              <a:ext cx="2314575" cy="962027"/>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𝑀𝑎𝑥</m:t>
                    </m:r>
                    <m:r>
                      <a:rPr lang="en-US" sz="1100" b="0" i="1">
                        <a:latin typeface="Cambria Math" panose="02040503050406030204" pitchFamily="18" charset="0"/>
                      </a:rPr>
                      <m:t> </m:t>
                    </m:r>
                    <m:r>
                      <a:rPr lang="en-US" sz="1100" b="0" i="1">
                        <a:latin typeface="Cambria Math" panose="02040503050406030204" pitchFamily="18" charset="0"/>
                      </a:rPr>
                      <m:t>𝑍</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$120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oMath>
                </m:oMathPara>
              </a14:m>
              <a:endParaRPr lang="en-US" sz="1100"/>
            </a:p>
            <a:p>
              <a:endParaRPr lang="en-US" sz="1100"/>
            </a:p>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𝑀𝑖𝑛</m:t>
                    </m:r>
                    <m:r>
                      <a:rPr lang="en-US" sz="1100" b="0" i="1">
                        <a:latin typeface="Cambria Math" panose="02040503050406030204" pitchFamily="18" charset="0"/>
                      </a:rPr>
                      <m:t> −</m:t>
                    </m:r>
                    <m:r>
                      <a:rPr lang="en-US" sz="1100" b="0" i="1">
                        <a:latin typeface="Cambria Math" panose="02040503050406030204" pitchFamily="18" charset="0"/>
                      </a:rPr>
                      <m:t>𝑍</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$120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oMath>
                </m:oMathPara>
              </a14:m>
              <a:endParaRPr lang="en-US" sz="1100"/>
            </a:p>
          </xdr:txBody>
        </xdr:sp>
      </mc:Choice>
      <mc:Fallback xmlns="">
        <xdr:sp macro="" textlink="">
          <xdr:nvSpPr>
            <xdr:cNvPr id="2" name="TextBox 1">
              <a:extLst>
                <a:ext uri="{FF2B5EF4-FFF2-40B4-BE49-F238E27FC236}">
                  <a16:creationId xmlns:a16="http://schemas.microsoft.com/office/drawing/2014/main" id="{F30B630D-031A-45B8-8D29-6976B909668F}"/>
                </a:ext>
              </a:extLst>
            </xdr:cNvPr>
            <xdr:cNvSpPr txBox="1"/>
          </xdr:nvSpPr>
          <xdr:spPr>
            <a:xfrm>
              <a:off x="757238" y="5257799"/>
              <a:ext cx="2314575" cy="962027"/>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sz="1100" b="0" i="0">
                  <a:latin typeface="Cambria Math" panose="02040503050406030204" pitchFamily="18" charset="0"/>
                </a:rPr>
                <a:t>𝑀𝑎𝑥 𝑍=$100/𝑎𝑐𝑟𝑒 (𝐴_ℎ )+$120/𝑎𝑐𝑟𝑒 (𝐴_𝑔 )</a:t>
              </a:r>
              <a:endParaRPr lang="en-US" sz="1100"/>
            </a:p>
            <a:p>
              <a:endParaRPr lang="en-US" sz="1100"/>
            </a:p>
            <a:p>
              <a:r>
                <a:rPr lang="en-US" sz="1100" b="0" i="0">
                  <a:latin typeface="Cambria Math" panose="02040503050406030204" pitchFamily="18" charset="0"/>
                </a:rPr>
                <a:t>𝑀𝑖𝑛 −𝑍=−$100/𝑎𝑐𝑟𝑒 (𝐴_ℎ )−$120/𝑎𝑐𝑟𝑒 (𝐴_𝑔 )</a:t>
              </a:r>
              <a:endParaRPr lang="en-US" sz="1100"/>
            </a:p>
          </xdr:txBody>
        </xdr:sp>
      </mc:Fallback>
    </mc:AlternateContent>
    <xdr:clientData/>
  </xdr:oneCellAnchor>
  <xdr:oneCellAnchor>
    <xdr:from>
      <xdr:col>7</xdr:col>
      <xdr:colOff>61912</xdr:colOff>
      <xdr:row>18</xdr:row>
      <xdr:rowOff>100011</xdr:rowOff>
    </xdr:from>
    <xdr:ext cx="3095625" cy="2767015"/>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E375023-5C6E-4A2E-825D-575486FE48F4}"/>
                </a:ext>
              </a:extLst>
            </xdr:cNvPr>
            <xdr:cNvSpPr txBox="1"/>
          </xdr:nvSpPr>
          <xdr:spPr>
            <a:xfrm>
              <a:off x="5386387" y="5095874"/>
              <a:ext cx="3095625" cy="2767015"/>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Equations - Graphical</a:t>
              </a:r>
              <a:endParaRPr lang="en-US" sz="1100" b="1" i="1">
                <a:latin typeface="Cambria Math" panose="02040503050406030204" pitchFamily="18" charset="0"/>
              </a:endParaRPr>
            </a:p>
            <a:p>
              <a:endParaRPr lang="en-US" sz="1100" b="0" i="1">
                <a:latin typeface="Cambria Math" panose="02040503050406030204" pitchFamily="18" charset="0"/>
              </a:endParaRPr>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1.    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≥0</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2.    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≥0</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3.    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≤10,000 </m:t>
                    </m:r>
                    <m:r>
                      <a:rPr lang="en-US" sz="1100" b="0" i="1">
                        <a:latin typeface="Cambria Math" panose="02040503050406030204" pitchFamily="18" charset="0"/>
                      </a:rPr>
                      <m:t>𝑎𝑐𝑟𝑒𝑠</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4.    2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)≤14,000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5.    1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)≤18,000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6.    1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+0</m:t>
                    </m:r>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≤6,000 </m:t>
                    </m:r>
                    <m:r>
                      <a:rPr lang="en-US" sz="1100" b="0" i="1">
                        <a:latin typeface="Cambria Math" panose="02040503050406030204" pitchFamily="18" charset="0"/>
                      </a:rPr>
                      <m:t>𝑎𝑐𝑓𝑡</m:t>
                    </m:r>
                  </m:oMath>
                </m:oMathPara>
              </a14:m>
              <a:endParaRPr lang="en-US" sz="1100"/>
            </a:p>
          </xdr:txBody>
        </xdr:sp>
      </mc:Choice>
      <mc:Fallback xmlns="">
        <xdr:sp macro="" textlink="">
          <xdr:nvSpPr>
            <xdr:cNvPr id="3" name="TextBox 2">
              <a:extLst>
                <a:ext uri="{FF2B5EF4-FFF2-40B4-BE49-F238E27FC236}">
                  <a16:creationId xmlns:a16="http://schemas.microsoft.com/office/drawing/2014/main" id="{BE375023-5C6E-4A2E-825D-575486FE48F4}"/>
                </a:ext>
              </a:extLst>
            </xdr:cNvPr>
            <xdr:cNvSpPr txBox="1"/>
          </xdr:nvSpPr>
          <xdr:spPr>
            <a:xfrm>
              <a:off x="5386387" y="5095874"/>
              <a:ext cx="3095625" cy="2767015"/>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Equations - Graphical</a:t>
              </a:r>
              <a:endParaRPr lang="en-US" sz="1100" b="1" i="1">
                <a:latin typeface="Cambria Math" panose="02040503050406030204" pitchFamily="18" charset="0"/>
              </a:endParaRPr>
            </a:p>
            <a:p>
              <a:endParaRPr lang="en-US" sz="1100" b="0" i="1">
                <a:latin typeface="Cambria Math" panose="02040503050406030204" pitchFamily="18" charset="0"/>
              </a:endParaRPr>
            </a:p>
            <a:p>
              <a:pPr algn="l"/>
              <a:r>
                <a:rPr lang="en-US" sz="1100" b="0" i="0">
                  <a:latin typeface="Cambria Math" panose="02040503050406030204" pitchFamily="18" charset="0"/>
                </a:rPr>
                <a:t>1.    𝐴_ℎ≥0</a:t>
              </a:r>
              <a:endParaRPr lang="en-US" sz="1100" b="0"/>
            </a:p>
            <a:p>
              <a:pPr algn="l"/>
              <a:endParaRPr lang="en-US" sz="1100"/>
            </a:p>
            <a:p>
              <a:pPr algn="l"/>
              <a:r>
                <a:rPr lang="en-US" sz="1100" b="0" i="0">
                  <a:latin typeface="Cambria Math" panose="02040503050406030204" pitchFamily="18" charset="0"/>
                </a:rPr>
                <a:t>2.    𝐴_𝑔≥0</a:t>
              </a:r>
              <a:endParaRPr lang="en-US" sz="1100" b="0"/>
            </a:p>
            <a:p>
              <a:pPr algn="l"/>
              <a:endParaRPr lang="en-US" sz="1100"/>
            </a:p>
            <a:p>
              <a:pPr algn="l"/>
              <a:r>
                <a:rPr lang="en-US" sz="1100" b="0" i="0">
                  <a:latin typeface="Cambria Math" panose="02040503050406030204" pitchFamily="18" charset="0"/>
                </a:rPr>
                <a:t>3.    𝐴_ℎ+𝐴_𝑔≤10,000 𝑎𝑐𝑟𝑒𝑠</a:t>
              </a:r>
              <a:endParaRPr lang="en-US" sz="1100" b="0"/>
            </a:p>
            <a:p>
              <a:pPr algn="l"/>
              <a:endParaRPr lang="en-US" sz="1100"/>
            </a:p>
            <a:p>
              <a:pPr algn="l"/>
              <a:r>
                <a:rPr lang="en-US" sz="1100" b="0" i="0">
                  <a:latin typeface="Cambria Math" panose="02040503050406030204" pitchFamily="18" charset="0"/>
                </a:rPr>
                <a:t>4.    2 𝑎𝑐𝑓𝑡/𝑎𝑐 (𝐴_ℎ )+1 𝑎𝑐𝑓𝑡/𝑎𝑐(𝐴_𝑔)≤14,000 𝑎𝑐𝑓𝑡</a:t>
              </a:r>
              <a:endParaRPr lang="en-US" sz="1100" b="0"/>
            </a:p>
            <a:p>
              <a:pPr algn="l"/>
              <a:endParaRPr lang="en-US" sz="1100"/>
            </a:p>
            <a:p>
              <a:pPr algn="l"/>
              <a:r>
                <a:rPr lang="en-US" sz="1100" b="0" i="0">
                  <a:latin typeface="Cambria Math" panose="02040503050406030204" pitchFamily="18" charset="0"/>
                </a:rPr>
                <a:t>5.    1 𝑎𝑐𝑓𝑡/𝑎𝑐 (𝐴_ℎ )+2 𝑎𝑐𝑓𝑡/𝑎𝑐(𝐴_𝑔)≤18,000 𝑎𝑐𝑓𝑡</a:t>
              </a:r>
              <a:endParaRPr lang="en-US" sz="1100" b="0"/>
            </a:p>
            <a:p>
              <a:pPr algn="l"/>
              <a:endParaRPr lang="en-US" sz="1100"/>
            </a:p>
            <a:p>
              <a:pPr algn="l"/>
              <a:r>
                <a:rPr lang="en-US" sz="1100" b="0" i="0">
                  <a:latin typeface="Cambria Math" panose="02040503050406030204" pitchFamily="18" charset="0"/>
                </a:rPr>
                <a:t>6.    1 𝑎𝑐𝑓𝑡/𝑎𝑐 (𝐴_ℎ )+0(𝐴_𝑔 )≤6,000 𝑎𝑐𝑓𝑡</a:t>
              </a:r>
              <a:endParaRPr lang="en-US" sz="1100"/>
            </a:p>
          </xdr:txBody>
        </xdr:sp>
      </mc:Fallback>
    </mc:AlternateContent>
    <xdr:clientData/>
  </xdr:oneCellAnchor>
  <xdr:twoCellAnchor>
    <xdr:from>
      <xdr:col>3</xdr:col>
      <xdr:colOff>647698</xdr:colOff>
      <xdr:row>33</xdr:row>
      <xdr:rowOff>76199</xdr:rowOff>
    </xdr:from>
    <xdr:to>
      <xdr:col>10</xdr:col>
      <xdr:colOff>647698</xdr:colOff>
      <xdr:row>49</xdr:row>
      <xdr:rowOff>95251</xdr:rowOff>
    </xdr:to>
    <xdr:graphicFrame macro="">
      <xdr:nvGraphicFramePr>
        <xdr:cNvPr id="4" name="Chart 3">
          <a:extLst>
            <a:ext uri="{FF2B5EF4-FFF2-40B4-BE49-F238E27FC236}">
              <a16:creationId xmlns:a16="http://schemas.microsoft.com/office/drawing/2014/main" id="{74EF3E08-2642-4CD9-A182-8390054835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685800</xdr:colOff>
      <xdr:row>37</xdr:row>
      <xdr:rowOff>114300</xdr:rowOff>
    </xdr:from>
    <xdr:to>
      <xdr:col>7</xdr:col>
      <xdr:colOff>19050</xdr:colOff>
      <xdr:row>46</xdr:row>
      <xdr:rowOff>9524</xdr:rowOff>
    </xdr:to>
    <xdr:sp macro="" textlink="">
      <xdr:nvSpPr>
        <xdr:cNvPr id="5" name="Freeform: Shape 4">
          <a:extLst>
            <a:ext uri="{FF2B5EF4-FFF2-40B4-BE49-F238E27FC236}">
              <a16:creationId xmlns:a16="http://schemas.microsoft.com/office/drawing/2014/main" id="{8C67B9A9-E17A-4117-8589-FA33BA039E7F}"/>
            </a:ext>
          </a:extLst>
        </xdr:cNvPr>
        <xdr:cNvSpPr/>
      </xdr:nvSpPr>
      <xdr:spPr>
        <a:xfrm>
          <a:off x="4229100" y="9239250"/>
          <a:ext cx="1504950" cy="1695449"/>
        </a:xfrm>
        <a:custGeom>
          <a:avLst/>
          <a:gdLst>
            <a:gd name="connsiteX0" fmla="*/ 14287 w 1276350"/>
            <a:gd name="connsiteY0" fmla="*/ 1538288 h 1538288"/>
            <a:gd name="connsiteX1" fmla="*/ 0 w 1276350"/>
            <a:gd name="connsiteY1" fmla="*/ 0 h 1538288"/>
            <a:gd name="connsiteX2" fmla="*/ 428625 w 1276350"/>
            <a:gd name="connsiteY2" fmla="*/ 176213 h 1538288"/>
            <a:gd name="connsiteX3" fmla="*/ 833437 w 1276350"/>
            <a:gd name="connsiteY3" fmla="*/ 504825 h 1538288"/>
            <a:gd name="connsiteX4" fmla="*/ 1271587 w 1276350"/>
            <a:gd name="connsiteY4" fmla="*/ 1185863 h 1538288"/>
            <a:gd name="connsiteX5" fmla="*/ 1276350 w 1276350"/>
            <a:gd name="connsiteY5" fmla="*/ 1524000 h 1538288"/>
            <a:gd name="connsiteX6" fmla="*/ 14287 w 1276350"/>
            <a:gd name="connsiteY6" fmla="*/ 1538288 h 15382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76350" h="1538288">
              <a:moveTo>
                <a:pt x="14287" y="1538288"/>
              </a:moveTo>
              <a:lnTo>
                <a:pt x="0" y="0"/>
              </a:lnTo>
              <a:lnTo>
                <a:pt x="428625" y="176213"/>
              </a:lnTo>
              <a:lnTo>
                <a:pt x="833437" y="504825"/>
              </a:lnTo>
              <a:lnTo>
                <a:pt x="1271587" y="1185863"/>
              </a:lnTo>
              <a:cubicBezTo>
                <a:pt x="1273175" y="1298575"/>
                <a:pt x="1274762" y="1411288"/>
                <a:pt x="1276350" y="1524000"/>
              </a:cubicBezTo>
              <a:lnTo>
                <a:pt x="14287" y="1538288"/>
              </a:lnTo>
              <a:close/>
            </a:path>
          </a:pathLst>
        </a:custGeom>
        <a:solidFill>
          <a:schemeClr val="accent2">
            <a:lumMod val="20000"/>
            <a:lumOff val="80000"/>
            <a:alpha val="7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endParaRPr lang="en-US" sz="1100"/>
        </a:p>
        <a:p>
          <a:pPr algn="l"/>
          <a:endParaRPr lang="en-US" sz="1100"/>
        </a:p>
        <a:p>
          <a:pPr algn="l"/>
          <a:endParaRPr lang="en-US" sz="1100"/>
        </a:p>
        <a:p>
          <a:pPr algn="l"/>
          <a:r>
            <a:rPr lang="en-US" sz="1100" b="1" baseline="0">
              <a:solidFill>
                <a:schemeClr val="tx1"/>
              </a:solidFill>
              <a:latin typeface="Times New Roman" panose="02020603050405020304" pitchFamily="18" charset="0"/>
              <a:cs typeface="Times New Roman" panose="02020603050405020304" pitchFamily="18" charset="0"/>
            </a:rPr>
            <a:t>(Convex Set)</a:t>
          </a:r>
          <a:endParaRPr lang="en-US" sz="1100" b="1">
            <a:solidFill>
              <a:schemeClr val="tx1"/>
            </a:solidFill>
            <a:latin typeface="Times New Roman" panose="02020603050405020304" pitchFamily="18" charset="0"/>
            <a:cs typeface="Times New Roman" panose="02020603050405020304" pitchFamily="18" charset="0"/>
          </a:endParaRPr>
        </a:p>
      </xdr:txBody>
    </xdr:sp>
    <xdr:clientData/>
  </xdr:twoCellAnchor>
  <xdr:oneCellAnchor>
    <xdr:from>
      <xdr:col>0</xdr:col>
      <xdr:colOff>223838</xdr:colOff>
      <xdr:row>74</xdr:row>
      <xdr:rowOff>57149</xdr:rowOff>
    </xdr:from>
    <xdr:ext cx="2314575" cy="962027"/>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F1A6A516-F6F6-4699-99FC-0C297EF3E42A}"/>
                </a:ext>
              </a:extLst>
            </xdr:cNvPr>
            <xdr:cNvSpPr txBox="1"/>
          </xdr:nvSpPr>
          <xdr:spPr>
            <a:xfrm>
              <a:off x="223838" y="15568612"/>
              <a:ext cx="2314575" cy="962027"/>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𝑀𝑎𝑥</m:t>
                    </m:r>
                    <m:r>
                      <a:rPr lang="en-US" sz="1100" b="0" i="1">
                        <a:latin typeface="Cambria Math" panose="02040503050406030204" pitchFamily="18" charset="0"/>
                      </a:rPr>
                      <m:t> </m:t>
                    </m:r>
                    <m:r>
                      <a:rPr lang="en-US" sz="1100" b="0" i="1">
                        <a:latin typeface="Cambria Math" panose="02040503050406030204" pitchFamily="18" charset="0"/>
                      </a:rPr>
                      <m:t>𝑍</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$120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oMath>
                </m:oMathPara>
              </a14:m>
              <a:endParaRPr lang="en-US" sz="1100"/>
            </a:p>
            <a:p>
              <a:endParaRPr lang="en-US" sz="1100"/>
            </a:p>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𝑀𝑖𝑛</m:t>
                    </m:r>
                    <m:r>
                      <a:rPr lang="en-US" sz="1100" b="0" i="1">
                        <a:latin typeface="Cambria Math" panose="02040503050406030204" pitchFamily="18" charset="0"/>
                      </a:rPr>
                      <m:t> −</m:t>
                    </m:r>
                    <m:r>
                      <a:rPr lang="en-US" sz="1100" b="0" i="1">
                        <a:latin typeface="Cambria Math" panose="02040503050406030204" pitchFamily="18" charset="0"/>
                      </a:rPr>
                      <m:t>𝑍</m:t>
                    </m:r>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$120</m:t>
                        </m:r>
                      </m:num>
                      <m:den>
                        <m:r>
                          <a:rPr lang="en-US" sz="1100" b="0" i="1">
                            <a:latin typeface="Cambria Math" panose="02040503050406030204" pitchFamily="18" charset="0"/>
                          </a:rPr>
                          <m:t>𝑎𝑐𝑟𝑒</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oMath>
                </m:oMathPara>
              </a14:m>
              <a:endParaRPr lang="en-US" sz="1100"/>
            </a:p>
          </xdr:txBody>
        </xdr:sp>
      </mc:Choice>
      <mc:Fallback xmlns="">
        <xdr:sp macro="" textlink="">
          <xdr:nvSpPr>
            <xdr:cNvPr id="7" name="TextBox 6">
              <a:extLst>
                <a:ext uri="{FF2B5EF4-FFF2-40B4-BE49-F238E27FC236}">
                  <a16:creationId xmlns:a16="http://schemas.microsoft.com/office/drawing/2014/main" id="{F1A6A516-F6F6-4699-99FC-0C297EF3E42A}"/>
                </a:ext>
              </a:extLst>
            </xdr:cNvPr>
            <xdr:cNvSpPr txBox="1"/>
          </xdr:nvSpPr>
          <xdr:spPr>
            <a:xfrm>
              <a:off x="223838" y="15568612"/>
              <a:ext cx="2314575" cy="962027"/>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sz="1100" b="0" i="0">
                  <a:latin typeface="Cambria Math" panose="02040503050406030204" pitchFamily="18" charset="0"/>
                </a:rPr>
                <a:t>𝑀𝑎𝑥 𝑍=$100/𝑎𝑐𝑟𝑒 (𝐴_ℎ )+$120/𝑎𝑐𝑟𝑒 (𝐴_𝑔 )</a:t>
              </a:r>
              <a:endParaRPr lang="en-US" sz="1100"/>
            </a:p>
            <a:p>
              <a:endParaRPr lang="en-US" sz="1100"/>
            </a:p>
            <a:p>
              <a:r>
                <a:rPr lang="en-US" sz="1100" b="0" i="0">
                  <a:latin typeface="Cambria Math" panose="02040503050406030204" pitchFamily="18" charset="0"/>
                </a:rPr>
                <a:t>𝑀𝑖𝑛 −𝑍=−$100/𝑎𝑐𝑟𝑒 (𝐴_ℎ )−$120/𝑎𝑐𝑟𝑒 (𝐴_𝑔 )</a:t>
              </a:r>
              <a:endParaRPr lang="en-US" sz="1100"/>
            </a:p>
          </xdr:txBody>
        </xdr:sp>
      </mc:Fallback>
    </mc:AlternateContent>
    <xdr:clientData/>
  </xdr:oneCellAnchor>
  <xdr:oneCellAnchor>
    <xdr:from>
      <xdr:col>7</xdr:col>
      <xdr:colOff>57150</xdr:colOff>
      <xdr:row>74</xdr:row>
      <xdr:rowOff>57149</xdr:rowOff>
    </xdr:from>
    <xdr:ext cx="3095625" cy="2743201"/>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6E292582-6AB0-4880-8441-AE5F8C1F2361}"/>
                </a:ext>
              </a:extLst>
            </xdr:cNvPr>
            <xdr:cNvSpPr txBox="1"/>
          </xdr:nvSpPr>
          <xdr:spPr>
            <a:xfrm>
              <a:off x="5772150" y="16763999"/>
              <a:ext cx="3095625" cy="2743201"/>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Equations - Simplex</a:t>
              </a:r>
            </a:p>
            <a:p>
              <a:pPr algn="ctr"/>
              <a:endParaRPr lang="en-US" sz="1100" b="1" i="1" baseline="0">
                <a:latin typeface="Cambria Math" panose="02040503050406030204" pitchFamily="18" charset="0"/>
              </a:endParaRPr>
            </a:p>
            <a:p>
              <a:pPr algn="ct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1.    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≥0:</m:t>
                    </m:r>
                    <m:r>
                      <a:rPr lang="en-US" sz="1100" b="0" i="1">
                        <a:latin typeface="Cambria Math" panose="02040503050406030204" pitchFamily="18" charset="0"/>
                      </a:rPr>
                      <m:t>𝐼𝑚𝑝𝑙𝑖𝑒𝑑</m:t>
                    </m:r>
                    <m:r>
                      <a:rPr lang="en-US" sz="1100" b="0" i="1">
                        <a:latin typeface="Cambria Math" panose="02040503050406030204" pitchFamily="18" charset="0"/>
                      </a:rPr>
                      <m:t> </m:t>
                    </m:r>
                    <m:r>
                      <a:rPr lang="en-US" sz="1100" b="0" i="1">
                        <a:latin typeface="Cambria Math" panose="02040503050406030204" pitchFamily="18" charset="0"/>
                      </a:rPr>
                      <m:t>𝑖𝑛</m:t>
                    </m:r>
                    <m:r>
                      <a:rPr lang="en-US" sz="1100" b="0" i="1">
                        <a:latin typeface="Cambria Math" panose="02040503050406030204" pitchFamily="18" charset="0"/>
                      </a:rPr>
                      <m:t> </m:t>
                    </m:r>
                    <m:r>
                      <a:rPr lang="en-US" sz="1100" b="0" i="1">
                        <a:latin typeface="Cambria Math" panose="02040503050406030204" pitchFamily="18" charset="0"/>
                      </a:rPr>
                      <m:t>𝑠𝑖𝑚𝑝𝑙𝑒𝑥</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2.    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≥0:</m:t>
                    </m:r>
                    <m:r>
                      <a:rPr lang="en-US" sz="1100" b="0" i="1">
                        <a:latin typeface="Cambria Math" panose="02040503050406030204" pitchFamily="18" charset="0"/>
                      </a:rPr>
                      <m:t>𝐼𝑚𝑝𝑙𝑖𝑒𝑑</m:t>
                    </m:r>
                    <m:r>
                      <a:rPr lang="en-US" sz="1100" b="0" i="1">
                        <a:latin typeface="Cambria Math" panose="02040503050406030204" pitchFamily="18" charset="0"/>
                      </a:rPr>
                      <m:t> </m:t>
                    </m:r>
                    <m:r>
                      <a:rPr lang="en-US" sz="1100" b="0" i="1">
                        <a:latin typeface="Cambria Math" panose="02040503050406030204" pitchFamily="18" charset="0"/>
                      </a:rPr>
                      <m:t>𝑖𝑛</m:t>
                    </m:r>
                    <m:r>
                      <a:rPr lang="en-US" sz="1100" b="0" i="1">
                        <a:latin typeface="Cambria Math" panose="02040503050406030204" pitchFamily="18" charset="0"/>
                      </a:rPr>
                      <m:t> </m:t>
                    </m:r>
                    <m:r>
                      <a:rPr lang="en-US" sz="1100" b="0" i="1">
                        <a:latin typeface="Cambria Math" panose="02040503050406030204" pitchFamily="18" charset="0"/>
                      </a:rPr>
                      <m:t>𝑠𝑖𝑚𝑝𝑙𝑒𝑥</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3.    </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3</m:t>
                        </m:r>
                      </m:sub>
                    </m:sSub>
                    <m:r>
                      <a:rPr lang="en-US" sz="1100" b="0" i="1">
                        <a:latin typeface="Cambria Math" panose="02040503050406030204" pitchFamily="18" charset="0"/>
                      </a:rPr>
                      <m:t>=10,000 </m:t>
                    </m:r>
                    <m:r>
                      <a:rPr lang="en-US" sz="1100" b="0" i="1">
                        <a:latin typeface="Cambria Math" panose="02040503050406030204" pitchFamily="18" charset="0"/>
                      </a:rPr>
                      <m:t>𝑎𝑐𝑟𝑒𝑠</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4.    2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4</m:t>
                        </m:r>
                      </m:sub>
                    </m:sSub>
                    <m:r>
                      <a:rPr lang="en-US" sz="1100" b="0" i="1">
                        <a:latin typeface="Cambria Math" panose="02040503050406030204" pitchFamily="18" charset="0"/>
                      </a:rPr>
                      <m:t>=14,000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5.    1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+2</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5</m:t>
                        </m:r>
                      </m:sub>
                    </m:sSub>
                    <m:r>
                      <a:rPr lang="en-US" sz="1100" b="0" i="1">
                        <a:latin typeface="Cambria Math" panose="02040503050406030204" pitchFamily="18" charset="0"/>
                      </a:rPr>
                      <m:t>=18,000 </m:t>
                    </m:r>
                    <m:r>
                      <a:rPr lang="en-US" sz="1100" b="0" i="1">
                        <a:latin typeface="Cambria Math" panose="02040503050406030204" pitchFamily="18" charset="0"/>
                      </a:rPr>
                      <m:t>𝑎𝑐𝑓𝑡</m:t>
                    </m:r>
                  </m:oMath>
                </m:oMathPara>
              </a14:m>
              <a:endParaRPr lang="en-US" sz="1100" b="0"/>
            </a:p>
            <a:p>
              <a:pPr algn="l"/>
              <a:endParaRPr lang="en-US" sz="1100"/>
            </a:p>
            <a:p>
              <a:pPr algn="l"/>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6.    1</m:t>
                    </m:r>
                    <m:f>
                      <m:fPr>
                        <m:ctrlPr>
                          <a:rPr lang="en-US" sz="1100" b="0" i="1">
                            <a:latin typeface="Cambria Math" panose="02040503050406030204" pitchFamily="18" charset="0"/>
                          </a:rPr>
                        </m:ctrlPr>
                      </m:fPr>
                      <m:num>
                        <m:r>
                          <a:rPr lang="en-US" sz="1100" b="0" i="1">
                            <a:latin typeface="Cambria Math" panose="02040503050406030204" pitchFamily="18" charset="0"/>
                          </a:rPr>
                          <m:t>𝑎𝑐𝑓𝑡</m:t>
                        </m:r>
                      </m:num>
                      <m:den>
                        <m:r>
                          <a:rPr lang="en-US" sz="1100" b="0" i="1">
                            <a:latin typeface="Cambria Math" panose="02040503050406030204" pitchFamily="18" charset="0"/>
                          </a:rPr>
                          <m:t>𝑎𝑐</m:t>
                        </m:r>
                      </m:den>
                    </m:f>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e>
                    </m:d>
                    <m:r>
                      <a:rPr lang="en-US" sz="1100" b="0" i="1">
                        <a:latin typeface="Cambria Math" panose="02040503050406030204" pitchFamily="18" charset="0"/>
                      </a:rPr>
                      <m:t>+0</m:t>
                    </m:r>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e>
                    </m:d>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𝑆</m:t>
                        </m:r>
                      </m:e>
                      <m:sub>
                        <m:r>
                          <a:rPr lang="en-US" sz="1100" b="0" i="1">
                            <a:latin typeface="Cambria Math" panose="02040503050406030204" pitchFamily="18" charset="0"/>
                          </a:rPr>
                          <m:t>6</m:t>
                        </m:r>
                      </m:sub>
                    </m:sSub>
                    <m:r>
                      <a:rPr lang="en-US" sz="1100" b="0" i="1">
                        <a:latin typeface="Cambria Math" panose="02040503050406030204" pitchFamily="18" charset="0"/>
                      </a:rPr>
                      <m:t>=6,000 </m:t>
                    </m:r>
                    <m:r>
                      <a:rPr lang="en-US" sz="1100" b="0" i="1">
                        <a:latin typeface="Cambria Math" panose="02040503050406030204" pitchFamily="18" charset="0"/>
                      </a:rPr>
                      <m:t>𝑎𝑐𝑓𝑡</m:t>
                    </m:r>
                  </m:oMath>
                </m:oMathPara>
              </a14:m>
              <a:endParaRPr lang="en-US" sz="1100"/>
            </a:p>
          </xdr:txBody>
        </xdr:sp>
      </mc:Choice>
      <mc:Fallback xmlns="">
        <xdr:sp macro="" textlink="">
          <xdr:nvSpPr>
            <xdr:cNvPr id="8" name="TextBox 7">
              <a:extLst>
                <a:ext uri="{FF2B5EF4-FFF2-40B4-BE49-F238E27FC236}">
                  <a16:creationId xmlns:a16="http://schemas.microsoft.com/office/drawing/2014/main" id="{6E292582-6AB0-4880-8441-AE5F8C1F2361}"/>
                </a:ext>
              </a:extLst>
            </xdr:cNvPr>
            <xdr:cNvSpPr txBox="1"/>
          </xdr:nvSpPr>
          <xdr:spPr>
            <a:xfrm>
              <a:off x="5772150" y="16763999"/>
              <a:ext cx="3095625" cy="2743201"/>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1100" b="1" i="1">
                  <a:latin typeface="Cambria Math" panose="02040503050406030204" pitchFamily="18" charset="0"/>
                </a:rPr>
                <a:t>Constraint</a:t>
              </a:r>
              <a:r>
                <a:rPr lang="en-US" sz="1100" b="1" i="1" baseline="0">
                  <a:latin typeface="Cambria Math" panose="02040503050406030204" pitchFamily="18" charset="0"/>
                </a:rPr>
                <a:t> Equations - Simplex</a:t>
              </a:r>
            </a:p>
            <a:p>
              <a:pPr algn="ctr"/>
              <a:endParaRPr lang="en-US" sz="1100" b="1" i="1" baseline="0">
                <a:latin typeface="Cambria Math" panose="02040503050406030204" pitchFamily="18" charset="0"/>
              </a:endParaRPr>
            </a:p>
            <a:p>
              <a:pPr algn="ctr"/>
              <a:r>
                <a:rPr lang="en-US" sz="1100" b="0" i="0">
                  <a:latin typeface="Cambria Math" panose="02040503050406030204" pitchFamily="18" charset="0"/>
                </a:rPr>
                <a:t>1.    𝐴_ℎ≥0:𝐼𝑚𝑝𝑙𝑖𝑒𝑑 𝑖𝑛 𝑠𝑖𝑚𝑝𝑙𝑒𝑥</a:t>
              </a:r>
              <a:endParaRPr lang="en-US" sz="1100" b="0"/>
            </a:p>
            <a:p>
              <a:pPr algn="l"/>
              <a:endParaRPr lang="en-US" sz="1100"/>
            </a:p>
            <a:p>
              <a:pPr algn="l"/>
              <a:r>
                <a:rPr lang="en-US" sz="1100" b="0" i="0">
                  <a:latin typeface="Cambria Math" panose="02040503050406030204" pitchFamily="18" charset="0"/>
                </a:rPr>
                <a:t>2.    𝐴_𝑔≥0:𝐼𝑚𝑝𝑙𝑖𝑒𝑑 𝑖𝑛 𝑠𝑖𝑚𝑝𝑙𝑒𝑥</a:t>
              </a:r>
              <a:endParaRPr lang="en-US" sz="1100" b="0"/>
            </a:p>
            <a:p>
              <a:pPr algn="l"/>
              <a:endParaRPr lang="en-US" sz="1100"/>
            </a:p>
            <a:p>
              <a:pPr algn="l"/>
              <a:r>
                <a:rPr lang="en-US" sz="1100" b="0" i="0">
                  <a:latin typeface="Cambria Math" panose="02040503050406030204" pitchFamily="18" charset="0"/>
                </a:rPr>
                <a:t>3.    𝐴_ℎ+𝐴_𝑔+𝑆_3=10,000 𝑎𝑐𝑟𝑒𝑠</a:t>
              </a:r>
              <a:endParaRPr lang="en-US" sz="1100" b="0"/>
            </a:p>
            <a:p>
              <a:pPr algn="l"/>
              <a:endParaRPr lang="en-US" sz="1100"/>
            </a:p>
            <a:p>
              <a:pPr algn="l"/>
              <a:r>
                <a:rPr lang="en-US" sz="1100" b="0" i="0">
                  <a:latin typeface="Cambria Math" panose="02040503050406030204" pitchFamily="18" charset="0"/>
                </a:rPr>
                <a:t>4.    2 𝑎𝑐𝑓𝑡/𝑎𝑐 (𝐴_ℎ )+1 𝑎𝑐𝑓𝑡/𝑎𝑐 (𝐴_𝑔 )+𝑆_4=14,000 𝑎𝑐𝑓𝑡</a:t>
              </a:r>
              <a:endParaRPr lang="en-US" sz="1100" b="0"/>
            </a:p>
            <a:p>
              <a:pPr algn="l"/>
              <a:endParaRPr lang="en-US" sz="1100"/>
            </a:p>
            <a:p>
              <a:pPr algn="l"/>
              <a:r>
                <a:rPr lang="en-US" sz="1100" b="0" i="0">
                  <a:latin typeface="Cambria Math" panose="02040503050406030204" pitchFamily="18" charset="0"/>
                </a:rPr>
                <a:t>5.    1 𝑎𝑐𝑓𝑡/𝑎𝑐 (𝐴_ℎ )+2 𝑎𝑐𝑓𝑡/𝑎𝑐 (𝐴_𝑔 )+𝑆_5=18,000 𝑎𝑐𝑓𝑡</a:t>
              </a:r>
              <a:endParaRPr lang="en-US" sz="1100" b="0"/>
            </a:p>
            <a:p>
              <a:pPr algn="l"/>
              <a:endParaRPr lang="en-US" sz="1100"/>
            </a:p>
            <a:p>
              <a:pPr algn="l"/>
              <a:r>
                <a:rPr lang="en-US" sz="1100" b="0" i="0">
                  <a:latin typeface="Cambria Math" panose="02040503050406030204" pitchFamily="18" charset="0"/>
                </a:rPr>
                <a:t>6.    1 𝑎𝑐𝑓𝑡/𝑎𝑐 (𝐴_ℎ )+0(𝐴_𝑔 )+𝑆_6=6,000 𝑎𝑐𝑓𝑡</a:t>
              </a:r>
              <a:endParaRPr lang="en-US" sz="1100"/>
            </a:p>
          </xdr:txBody>
        </xdr:sp>
      </mc:Fallback>
    </mc:AlternateContent>
    <xdr:clientData/>
  </xdr:oneCellAnchor>
  <xdr:oneCellAnchor>
    <xdr:from>
      <xdr:col>2</xdr:col>
      <xdr:colOff>457200</xdr:colOff>
      <xdr:row>49</xdr:row>
      <xdr:rowOff>57149</xdr:rowOff>
    </xdr:from>
    <xdr:ext cx="1428468" cy="639534"/>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EFB853FE-AE7E-4179-ADBB-E7758EBEB750}"/>
                </a:ext>
              </a:extLst>
            </xdr:cNvPr>
            <xdr:cNvSpPr txBox="1"/>
          </xdr:nvSpPr>
          <xdr:spPr>
            <a:xfrm>
              <a:off x="1924050" y="11582399"/>
              <a:ext cx="1428468" cy="639534"/>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b="0" i="1">
                            <a:latin typeface="Cambria Math" panose="02040503050406030204" pitchFamily="18" charset="0"/>
                          </a:rPr>
                        </m:ctrlPr>
                      </m:fPr>
                      <m:num>
                        <m:r>
                          <a:rPr lang="en-US" sz="1100" b="0" i="1">
                            <a:latin typeface="Cambria Math" panose="02040503050406030204" pitchFamily="18" charset="0"/>
                          </a:rPr>
                          <m:t>100</m:t>
                        </m:r>
                      </m:num>
                      <m:den>
                        <m:r>
                          <a:rPr lang="en-US" sz="1100" b="0" i="1">
                            <a:latin typeface="Cambria Math" panose="02040503050406030204" pitchFamily="18" charset="0"/>
                          </a:rPr>
                          <m:t>120</m:t>
                        </m:r>
                      </m:den>
                    </m:f>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m:t>
                    </m:r>
                    <m:r>
                      <a:rPr lang="en-US" sz="1100" b="0" i="1">
                        <a:latin typeface="Cambria Math" panose="02040503050406030204" pitchFamily="18" charset="0"/>
                      </a:rPr>
                      <m:t>𝑟𝑒𝑡𝑢𝑟𝑛</m:t>
                    </m:r>
                  </m:oMath>
                </m:oMathPara>
              </a14:m>
              <a:endParaRPr lang="en-US" sz="1100"/>
            </a:p>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m:t>
                    </m:r>
                    <m:r>
                      <a:rPr lang="en-US" sz="1100" b="0" i="1">
                        <a:latin typeface="Cambria Math" panose="02040503050406030204" pitchFamily="18" charset="0"/>
                      </a:rPr>
                      <m:t>𝑟𝑒𝑡𝑢𝑟𝑛</m:t>
                    </m:r>
                    <m:r>
                      <a:rPr lang="en-US" sz="1100" b="0" i="1">
                        <a:latin typeface="Cambria Math" panose="02040503050406030204" pitchFamily="18" charset="0"/>
                      </a:rPr>
                      <m:t> −</m:t>
                    </m:r>
                    <m:f>
                      <m:fPr>
                        <m:ctrlPr>
                          <a:rPr lang="en-US" sz="1100" b="0" i="1">
                            <a:latin typeface="Cambria Math" panose="02040503050406030204" pitchFamily="18" charset="0"/>
                          </a:rPr>
                        </m:ctrlPr>
                      </m:fPr>
                      <m:num>
                        <m:r>
                          <a:rPr lang="en-US" sz="1100" b="0" i="1">
                            <a:latin typeface="Cambria Math" panose="02040503050406030204" pitchFamily="18" charset="0"/>
                          </a:rPr>
                          <m:t>5</m:t>
                        </m:r>
                      </m:num>
                      <m:den>
                        <m:r>
                          <a:rPr lang="en-US" sz="1100" b="0" i="1">
                            <a:latin typeface="Cambria Math" panose="02040503050406030204" pitchFamily="18" charset="0"/>
                          </a:rPr>
                          <m:t>6</m:t>
                        </m:r>
                      </m:den>
                    </m:f>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 </m:t>
                    </m:r>
                  </m:oMath>
                </m:oMathPara>
              </a14:m>
              <a:endParaRPr lang="en-US" sz="1100"/>
            </a:p>
          </xdr:txBody>
        </xdr:sp>
      </mc:Choice>
      <mc:Fallback xmlns="">
        <xdr:sp macro="" textlink="">
          <xdr:nvSpPr>
            <xdr:cNvPr id="6" name="TextBox 5">
              <a:extLst>
                <a:ext uri="{FF2B5EF4-FFF2-40B4-BE49-F238E27FC236}">
                  <a16:creationId xmlns:a16="http://schemas.microsoft.com/office/drawing/2014/main" id="{EFB853FE-AE7E-4179-ADBB-E7758EBEB750}"/>
                </a:ext>
              </a:extLst>
            </xdr:cNvPr>
            <xdr:cNvSpPr txBox="1"/>
          </xdr:nvSpPr>
          <xdr:spPr>
            <a:xfrm>
              <a:off x="1924050" y="11582399"/>
              <a:ext cx="1428468" cy="639534"/>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100/120 𝐴_ℎ+𝐴_𝑔=𝑟𝑒𝑡𝑢𝑟𝑛</a:t>
              </a:r>
              <a:endParaRPr lang="en-US" sz="1100"/>
            </a:p>
            <a:p>
              <a:r>
                <a:rPr lang="en-US" sz="1100" b="0" i="0">
                  <a:latin typeface="Cambria Math" panose="02040503050406030204" pitchFamily="18" charset="0"/>
                </a:rPr>
                <a:t>𝐴_𝑔=𝑟𝑒𝑡𝑢𝑟𝑛 −5/6 𝐴_ℎ  </a:t>
              </a:r>
              <a:endParaRPr lang="en-US" sz="1100"/>
            </a:p>
          </xdr:txBody>
        </xdr:sp>
      </mc:Fallback>
    </mc:AlternateContent>
    <xdr:clientData/>
  </xdr:oneCellAnchor>
  <xdr:oneCellAnchor>
    <xdr:from>
      <xdr:col>4</xdr:col>
      <xdr:colOff>352425</xdr:colOff>
      <xdr:row>49</xdr:row>
      <xdr:rowOff>81233</xdr:rowOff>
    </xdr:from>
    <xdr:ext cx="3543300" cy="53040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49E8BC33-D386-44DE-899A-AD7143D2F8F7}"/>
                </a:ext>
              </a:extLst>
            </xdr:cNvPr>
            <xdr:cNvSpPr txBox="1"/>
          </xdr:nvSpPr>
          <xdr:spPr>
            <a:xfrm>
              <a:off x="3514725" y="11606483"/>
              <a:ext cx="3543300" cy="530402"/>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spAutoFit/>
            </a:bodyPr>
            <a:lstStyle/>
            <a:p>
              <a:pPr algn="ctr"/>
              <a:r>
                <a:rPr lang="en-US" sz="1100" b="1">
                  <a:latin typeface="Times New Roman" panose="02020603050405020304" pitchFamily="18" charset="0"/>
                  <a:cs typeface="Times New Roman" panose="02020603050405020304" pitchFamily="18" charset="0"/>
                </a:rPr>
                <a:t>For</a:t>
              </a:r>
              <a:r>
                <a:rPr lang="en-US" sz="1100" b="1" baseline="0">
                  <a:latin typeface="Times New Roman" panose="02020603050405020304" pitchFamily="18" charset="0"/>
                  <a:cs typeface="Times New Roman" panose="02020603050405020304" pitchFamily="18" charset="0"/>
                </a:rPr>
                <a:t> optimal solution, objective function lies along the line</a:t>
              </a:r>
              <a:endParaRPr lang="en-US" sz="1100" b="1">
                <a:latin typeface="Times New Roman" panose="02020603050405020304" pitchFamily="18" charset="0"/>
                <a:cs typeface="Times New Roman" panose="02020603050405020304" pitchFamily="18" charset="0"/>
              </a:endParaRPr>
            </a:p>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𝑔</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$1.16×</m:t>
                        </m:r>
                        <m:sSup>
                          <m:sSupPr>
                            <m:ctrlPr>
                              <a:rPr lang="en-US" sz="1100" b="0" i="1">
                                <a:latin typeface="Cambria Math" panose="02040503050406030204" pitchFamily="18" charset="0"/>
                              </a:rPr>
                            </m:ctrlPr>
                          </m:sSupPr>
                          <m:e>
                            <m:r>
                              <a:rPr lang="en-US" sz="1100" b="0" i="1">
                                <a:latin typeface="Cambria Math" panose="02040503050406030204" pitchFamily="18" charset="0"/>
                              </a:rPr>
                              <m:t>10</m:t>
                            </m:r>
                          </m:e>
                          <m:sup>
                            <m:r>
                              <a:rPr lang="en-US" sz="1100" b="0" i="1">
                                <a:latin typeface="Cambria Math" panose="02040503050406030204" pitchFamily="18" charset="0"/>
                              </a:rPr>
                              <m:t>6</m:t>
                            </m:r>
                          </m:sup>
                        </m:sSup>
                      </m:num>
                      <m:den>
                        <m:r>
                          <a:rPr lang="en-US" sz="1100" b="0" i="1">
                            <a:latin typeface="Cambria Math" panose="02040503050406030204" pitchFamily="18" charset="0"/>
                          </a:rPr>
                          <m:t>$120/</m:t>
                        </m:r>
                        <m:r>
                          <a:rPr lang="en-US" sz="1100" b="0" i="1">
                            <a:latin typeface="Cambria Math" panose="02040503050406030204" pitchFamily="18" charset="0"/>
                          </a:rPr>
                          <m:t>𝑎𝑐𝑟𝑒</m:t>
                        </m:r>
                      </m:den>
                    </m:f>
                    <m:r>
                      <a:rPr lang="en-US" sz="1100" b="0" i="1">
                        <a:latin typeface="Cambria Math" panose="02040503050406030204" pitchFamily="18" charset="0"/>
                      </a:rPr>
                      <m:t> −</m:t>
                    </m:r>
                    <m:f>
                      <m:fPr>
                        <m:ctrlPr>
                          <a:rPr lang="en-US" sz="1100" b="0" i="1">
                            <a:latin typeface="Cambria Math" panose="02040503050406030204" pitchFamily="18" charset="0"/>
                          </a:rPr>
                        </m:ctrlPr>
                      </m:fPr>
                      <m:num>
                        <m:r>
                          <a:rPr lang="en-US" sz="1100" b="0" i="1">
                            <a:latin typeface="Cambria Math" panose="02040503050406030204" pitchFamily="18" charset="0"/>
                          </a:rPr>
                          <m:t>5</m:t>
                        </m:r>
                      </m:num>
                      <m:den>
                        <m:r>
                          <a:rPr lang="en-US" sz="1100" b="0" i="1">
                            <a:latin typeface="Cambria Math" panose="02040503050406030204" pitchFamily="18" charset="0"/>
                          </a:rPr>
                          <m:t>6</m:t>
                        </m:r>
                      </m:den>
                    </m:f>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29000</m:t>
                        </m:r>
                      </m:num>
                      <m:den>
                        <m:r>
                          <a:rPr lang="en-US" sz="1100" b="0" i="1">
                            <a:latin typeface="Cambria Math" panose="02040503050406030204" pitchFamily="18" charset="0"/>
                          </a:rPr>
                          <m:t>3</m:t>
                        </m:r>
                      </m:den>
                    </m:f>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5</m:t>
                        </m:r>
                      </m:num>
                      <m:den>
                        <m:r>
                          <a:rPr lang="en-US" sz="1100" b="0" i="1">
                            <a:latin typeface="Cambria Math" panose="02040503050406030204" pitchFamily="18" charset="0"/>
                          </a:rPr>
                          <m:t>6</m:t>
                        </m:r>
                      </m:den>
                    </m:f>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h</m:t>
                        </m:r>
                      </m:sub>
                    </m:sSub>
                    <m:r>
                      <a:rPr lang="en-US" sz="1100" b="0" i="1">
                        <a:latin typeface="Cambria Math" panose="02040503050406030204" pitchFamily="18" charset="0"/>
                      </a:rPr>
                      <m:t> </m:t>
                    </m:r>
                  </m:oMath>
                </m:oMathPara>
              </a14:m>
              <a:endParaRPr lang="en-US" sz="1100"/>
            </a:p>
          </xdr:txBody>
        </xdr:sp>
      </mc:Choice>
      <mc:Fallback xmlns="">
        <xdr:sp macro="" textlink="">
          <xdr:nvSpPr>
            <xdr:cNvPr id="9" name="TextBox 8">
              <a:extLst>
                <a:ext uri="{FF2B5EF4-FFF2-40B4-BE49-F238E27FC236}">
                  <a16:creationId xmlns:a16="http://schemas.microsoft.com/office/drawing/2014/main" id="{49E8BC33-D386-44DE-899A-AD7143D2F8F7}"/>
                </a:ext>
              </a:extLst>
            </xdr:cNvPr>
            <xdr:cNvSpPr txBox="1"/>
          </xdr:nvSpPr>
          <xdr:spPr>
            <a:xfrm>
              <a:off x="3514725" y="11606483"/>
              <a:ext cx="3543300" cy="530402"/>
            </a:xfrm>
            <a:prstGeom prst="rect">
              <a:avLst/>
            </a:prstGeom>
            <a:solidFill>
              <a:schemeClr val="accent4">
                <a:lumMod val="20000"/>
                <a:lumOff val="80000"/>
              </a:schemeClr>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spAutoFit/>
            </a:bodyPr>
            <a:lstStyle/>
            <a:p>
              <a:pPr algn="ctr"/>
              <a:r>
                <a:rPr lang="en-US" sz="1100" b="1">
                  <a:latin typeface="Times New Roman" panose="02020603050405020304" pitchFamily="18" charset="0"/>
                  <a:cs typeface="Times New Roman" panose="02020603050405020304" pitchFamily="18" charset="0"/>
                </a:rPr>
                <a:t>For</a:t>
              </a:r>
              <a:r>
                <a:rPr lang="en-US" sz="1100" b="1" baseline="0">
                  <a:latin typeface="Times New Roman" panose="02020603050405020304" pitchFamily="18" charset="0"/>
                  <a:cs typeface="Times New Roman" panose="02020603050405020304" pitchFamily="18" charset="0"/>
                </a:rPr>
                <a:t> optimal solution, objective function lies along the line</a:t>
              </a:r>
              <a:endParaRPr lang="en-US" sz="1100" b="1">
                <a:latin typeface="Times New Roman" panose="02020603050405020304" pitchFamily="18" charset="0"/>
                <a:cs typeface="Times New Roman" panose="02020603050405020304" pitchFamily="18" charset="0"/>
              </a:endParaRPr>
            </a:p>
            <a:p>
              <a:r>
                <a:rPr lang="en-US" sz="1100" b="0" i="0">
                  <a:latin typeface="Cambria Math" panose="02040503050406030204" pitchFamily="18" charset="0"/>
                </a:rPr>
                <a:t>𝐴_𝑔=($1.16×10^6)/($120/𝑎𝑐𝑟𝑒)  −5/6 𝐴_ℎ=29000/3−5/6 𝐴_ℎ  </a:t>
              </a:r>
              <a:endParaRPr lang="en-US" sz="1100"/>
            </a:p>
          </xdr:txBody>
        </xdr:sp>
      </mc:Fallback>
    </mc:AlternateContent>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6E9C4-03EE-477D-80BF-1BE6190D96F6}">
  <sheetPr codeName="Sheet2"/>
  <dimension ref="A1:A13"/>
  <sheetViews>
    <sheetView workbookViewId="0">
      <selection activeCell="C6" sqref="C6"/>
    </sheetView>
  </sheetViews>
  <sheetFormatPr defaultRowHeight="15.4" x14ac:dyDescent="0.45"/>
  <cols>
    <col min="1" max="1" width="34.3125" customWidth="1"/>
  </cols>
  <sheetData>
    <row r="1" spans="1:1" ht="85.9" thickBot="1" x14ac:dyDescent="0.5">
      <c r="A1" s="176" t="s">
        <v>11</v>
      </c>
    </row>
    <row r="2" spans="1:1" ht="15.75" thickBot="1" x14ac:dyDescent="0.5">
      <c r="A2" s="10"/>
    </row>
    <row r="3" spans="1:1" ht="25.15" x14ac:dyDescent="0.45">
      <c r="A3" s="1" t="s">
        <v>3</v>
      </c>
    </row>
    <row r="4" spans="1:1" ht="25.15" x14ac:dyDescent="0.45">
      <c r="A4" s="2" t="s">
        <v>4</v>
      </c>
    </row>
    <row r="5" spans="1:1" ht="25.15" x14ac:dyDescent="0.45">
      <c r="A5" s="2" t="s">
        <v>12</v>
      </c>
    </row>
    <row r="6" spans="1:1" ht="25.5" thickBot="1" x14ac:dyDescent="0.5">
      <c r="A6" s="8">
        <v>44085</v>
      </c>
    </row>
    <row r="7" spans="1:1" ht="25.5" thickBot="1" x14ac:dyDescent="0.5">
      <c r="A7" s="2"/>
    </row>
    <row r="8" spans="1:1" ht="25.5" thickBot="1" x14ac:dyDescent="0.5">
      <c r="A8" s="9" t="s">
        <v>5</v>
      </c>
    </row>
    <row r="9" spans="1:1" ht="25.15" x14ac:dyDescent="0.45">
      <c r="A9" s="3" t="s">
        <v>6</v>
      </c>
    </row>
    <row r="10" spans="1:1" ht="25.15" x14ac:dyDescent="0.45">
      <c r="A10" s="4" t="s">
        <v>7</v>
      </c>
    </row>
    <row r="11" spans="1:1" ht="25.15" thickBot="1" x14ac:dyDescent="0.5">
      <c r="A11" s="5" t="s">
        <v>8</v>
      </c>
    </row>
    <row r="12" spans="1:1" ht="25.5" thickTop="1" thickBot="1" x14ac:dyDescent="0.5">
      <c r="A12" s="6" t="s">
        <v>9</v>
      </c>
    </row>
    <row r="13" spans="1:1" ht="25.5" thickTop="1" thickBot="1" x14ac:dyDescent="0.5">
      <c r="A13" s="7" t="s">
        <v>10</v>
      </c>
    </row>
  </sheetData>
  <printOptions horizontalCentered="1" verticalCentered="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24D46-222B-418B-9AB1-F734A835D7A7}">
  <sheetPr codeName="Sheet3">
    <pageSetUpPr fitToPage="1"/>
  </sheetPr>
  <dimension ref="A1:L133"/>
  <sheetViews>
    <sheetView tabSelected="1" topLeftCell="A16" zoomScaleNormal="100" workbookViewId="0">
      <selection activeCell="M36" sqref="M36"/>
    </sheetView>
  </sheetViews>
  <sheetFormatPr defaultRowHeight="15.4" x14ac:dyDescent="0.45"/>
  <cols>
    <col min="1" max="1" width="12.375" customWidth="1"/>
    <col min="2" max="2" width="10.75" customWidth="1"/>
    <col min="3" max="3" width="11.5625" customWidth="1"/>
    <col min="4" max="4" width="11.75" customWidth="1"/>
    <col min="5" max="5" width="10.4375" customWidth="1"/>
    <col min="9" max="9" width="14.375" customWidth="1"/>
    <col min="10" max="10" width="14.8125" customWidth="1"/>
    <col min="12" max="12" width="10.5" customWidth="1"/>
  </cols>
  <sheetData>
    <row r="1" spans="1:11" ht="19.149999999999999" thickBot="1" x14ac:dyDescent="0.55000000000000004">
      <c r="A1" s="156" t="s">
        <v>24</v>
      </c>
      <c r="B1" s="156"/>
      <c r="C1" s="156"/>
      <c r="D1" s="156"/>
      <c r="E1" s="156"/>
      <c r="F1" s="156"/>
      <c r="G1" s="156"/>
      <c r="H1" s="156"/>
      <c r="I1" s="156"/>
      <c r="J1" s="156"/>
      <c r="K1" s="156"/>
    </row>
    <row r="2" spans="1:11" ht="70.5" customHeight="1" thickTop="1" thickBot="1" x14ac:dyDescent="0.5">
      <c r="A2" s="168" t="s">
        <v>0</v>
      </c>
      <c r="B2" s="141" t="s">
        <v>13</v>
      </c>
      <c r="C2" s="141"/>
      <c r="D2" s="141"/>
      <c r="E2" s="141"/>
      <c r="F2" s="141"/>
      <c r="G2" s="141"/>
      <c r="H2" s="141"/>
      <c r="I2" s="141"/>
      <c r="J2" s="141"/>
      <c r="K2" s="141"/>
    </row>
    <row r="3" spans="1:11" ht="16.149999999999999" thickTop="1" thickBot="1" x14ac:dyDescent="0.5">
      <c r="A3" s="168"/>
      <c r="B3" s="14"/>
      <c r="C3" s="163" t="s">
        <v>22</v>
      </c>
      <c r="D3" s="163"/>
      <c r="E3" s="163"/>
      <c r="F3" s="15"/>
      <c r="G3" s="13"/>
      <c r="H3" s="13"/>
      <c r="I3" s="13"/>
    </row>
    <row r="4" spans="1:11" ht="31.5" thickTop="1" thickBot="1" x14ac:dyDescent="0.5">
      <c r="A4" s="168"/>
      <c r="B4" s="16"/>
      <c r="C4" s="17" t="s">
        <v>18</v>
      </c>
      <c r="D4" s="17" t="s">
        <v>19</v>
      </c>
      <c r="E4" s="17" t="s">
        <v>20</v>
      </c>
      <c r="F4" s="18" t="s">
        <v>21</v>
      </c>
      <c r="G4" s="13"/>
      <c r="H4" s="13"/>
      <c r="I4" s="13"/>
    </row>
    <row r="5" spans="1:11" ht="16.149999999999999" thickTop="1" thickBot="1" x14ac:dyDescent="0.5">
      <c r="A5" s="168"/>
      <c r="B5" s="22" t="s">
        <v>16</v>
      </c>
      <c r="C5" s="23">
        <v>2</v>
      </c>
      <c r="D5" s="23">
        <v>1</v>
      </c>
      <c r="E5" s="23">
        <v>1</v>
      </c>
      <c r="F5" s="24">
        <v>100</v>
      </c>
      <c r="G5" s="13"/>
      <c r="H5" s="13"/>
      <c r="I5" s="13"/>
    </row>
    <row r="6" spans="1:11" ht="16.149999999999999" thickTop="1" thickBot="1" x14ac:dyDescent="0.5">
      <c r="A6" s="168"/>
      <c r="B6" s="19" t="s">
        <v>17</v>
      </c>
      <c r="C6" s="20">
        <v>1</v>
      </c>
      <c r="D6" s="20">
        <v>2</v>
      </c>
      <c r="E6" s="20">
        <v>0</v>
      </c>
      <c r="F6" s="21">
        <v>120</v>
      </c>
      <c r="G6" s="12"/>
      <c r="H6" s="12"/>
      <c r="I6" s="12"/>
    </row>
    <row r="7" spans="1:11" ht="16.899999999999999" customHeight="1" thickTop="1" thickBot="1" x14ac:dyDescent="0.5">
      <c r="A7" s="168" t="s">
        <v>1</v>
      </c>
      <c r="B7" s="142" t="s">
        <v>14</v>
      </c>
      <c r="C7" s="142"/>
      <c r="D7" s="142"/>
      <c r="E7" s="142"/>
      <c r="F7" s="142"/>
      <c r="G7" s="142"/>
      <c r="H7" s="142"/>
      <c r="I7" s="142"/>
      <c r="J7" s="142"/>
      <c r="K7" s="142"/>
    </row>
    <row r="8" spans="1:11" ht="16.149999999999999" thickTop="1" thickBot="1" x14ac:dyDescent="0.5">
      <c r="A8" s="168"/>
      <c r="B8" s="142" t="s">
        <v>15</v>
      </c>
      <c r="C8" s="142"/>
      <c r="D8" s="142"/>
      <c r="E8" s="142"/>
      <c r="F8" s="142"/>
      <c r="G8" s="142"/>
      <c r="H8" s="142"/>
      <c r="I8" s="142"/>
      <c r="J8" s="142"/>
      <c r="K8" s="142"/>
    </row>
    <row r="9" spans="1:11" ht="16.149999999999999" thickTop="1" thickBot="1" x14ac:dyDescent="0.5">
      <c r="A9" s="168"/>
      <c r="B9" s="143" t="s">
        <v>23</v>
      </c>
      <c r="C9" s="143"/>
      <c r="D9" s="143"/>
      <c r="E9" s="143"/>
      <c r="F9" s="143"/>
      <c r="G9" s="143"/>
      <c r="H9" s="143"/>
      <c r="I9" s="143"/>
      <c r="J9" s="143"/>
      <c r="K9" s="143"/>
    </row>
    <row r="10" spans="1:11" ht="16.149999999999999" thickTop="1" thickBot="1" x14ac:dyDescent="0.5">
      <c r="A10" s="144" t="s">
        <v>2</v>
      </c>
      <c r="B10" s="144"/>
      <c r="C10" s="144"/>
      <c r="D10" s="144"/>
      <c r="E10" s="144"/>
      <c r="F10" s="144"/>
      <c r="G10" s="144"/>
      <c r="H10" s="144"/>
      <c r="I10" s="144"/>
      <c r="J10" s="144"/>
      <c r="K10" s="144"/>
    </row>
    <row r="11" spans="1:11" ht="15.75" thickBot="1" x14ac:dyDescent="0.5">
      <c r="A11" s="50" t="s">
        <v>25</v>
      </c>
      <c r="B11" s="146" t="s">
        <v>26</v>
      </c>
      <c r="C11" s="146"/>
      <c r="D11" s="146"/>
      <c r="E11" s="146"/>
      <c r="F11" s="146"/>
      <c r="G11" s="147"/>
      <c r="H11" s="147"/>
      <c r="I11" s="147"/>
      <c r="J11" s="147"/>
      <c r="K11" s="147"/>
    </row>
    <row r="12" spans="1:11" ht="15.75" thickBot="1" x14ac:dyDescent="0.5">
      <c r="B12" s="123" t="s">
        <v>28</v>
      </c>
      <c r="C12" s="124"/>
      <c r="D12" s="124"/>
      <c r="E12" s="124"/>
      <c r="F12" s="125"/>
    </row>
    <row r="13" spans="1:11" x14ac:dyDescent="0.45">
      <c r="B13" s="54" t="s">
        <v>31</v>
      </c>
      <c r="C13" s="55" t="s">
        <v>27</v>
      </c>
      <c r="D13" s="157" t="s">
        <v>32</v>
      </c>
      <c r="E13" s="157"/>
      <c r="F13" s="158"/>
    </row>
    <row r="14" spans="1:11" ht="17.649999999999999" x14ac:dyDescent="0.45">
      <c r="B14" s="40" t="s">
        <v>29</v>
      </c>
      <c r="C14" s="51" t="s">
        <v>33</v>
      </c>
      <c r="D14" s="159" t="s">
        <v>35</v>
      </c>
      <c r="E14" s="159"/>
      <c r="F14" s="160"/>
    </row>
    <row r="15" spans="1:11" ht="18" thickBot="1" x14ac:dyDescent="0.5">
      <c r="B15" s="52" t="s">
        <v>30</v>
      </c>
      <c r="C15" s="53" t="s">
        <v>33</v>
      </c>
      <c r="D15" s="161" t="s">
        <v>34</v>
      </c>
      <c r="E15" s="161"/>
      <c r="F15" s="162"/>
    </row>
    <row r="17" spans="1:11" x14ac:dyDescent="0.45">
      <c r="A17" s="133" t="s">
        <v>36</v>
      </c>
      <c r="B17" s="133"/>
      <c r="C17" s="133"/>
      <c r="D17" s="133"/>
      <c r="E17" s="133"/>
      <c r="F17" s="133"/>
      <c r="G17" s="133"/>
      <c r="H17" s="133"/>
      <c r="I17" s="133"/>
      <c r="J17" s="133"/>
      <c r="K17" s="133"/>
    </row>
    <row r="18" spans="1:11" x14ac:dyDescent="0.45">
      <c r="A18" s="130" t="s">
        <v>37</v>
      </c>
      <c r="B18" s="130"/>
      <c r="C18" s="130"/>
      <c r="D18" s="130"/>
      <c r="E18" s="130"/>
      <c r="F18" s="130"/>
      <c r="G18" s="130"/>
      <c r="H18" s="130"/>
      <c r="I18" s="130"/>
      <c r="J18" s="130"/>
      <c r="K18" s="130"/>
    </row>
    <row r="19" spans="1:11" x14ac:dyDescent="0.45">
      <c r="A19" s="145" t="s">
        <v>38</v>
      </c>
      <c r="B19" s="145"/>
      <c r="C19" s="145"/>
      <c r="D19" s="145"/>
      <c r="E19" s="145"/>
      <c r="F19" s="145"/>
      <c r="G19" s="145"/>
      <c r="H19" s="145"/>
      <c r="I19" s="145"/>
      <c r="J19" s="145"/>
      <c r="K19" s="145"/>
    </row>
    <row r="25" spans="1:11" ht="15.75" thickBot="1" x14ac:dyDescent="0.5"/>
    <row r="26" spans="1:11" ht="15.75" thickBot="1" x14ac:dyDescent="0.5">
      <c r="A26" s="127" t="s">
        <v>39</v>
      </c>
      <c r="B26" s="128"/>
      <c r="C26" s="128"/>
      <c r="D26" s="128"/>
      <c r="E26" s="128"/>
      <c r="F26" s="128"/>
      <c r="G26" s="129"/>
    </row>
    <row r="27" spans="1:11" x14ac:dyDescent="0.45">
      <c r="A27" s="68">
        <v>1</v>
      </c>
      <c r="B27" s="130" t="s">
        <v>40</v>
      </c>
      <c r="C27" s="130"/>
      <c r="D27" s="130"/>
      <c r="E27" s="130"/>
      <c r="F27" s="130"/>
      <c r="G27" s="131"/>
    </row>
    <row r="28" spans="1:11" x14ac:dyDescent="0.45">
      <c r="A28" s="69">
        <v>2</v>
      </c>
      <c r="B28" s="119" t="s">
        <v>41</v>
      </c>
      <c r="C28" s="119"/>
      <c r="D28" s="119"/>
      <c r="E28" s="119"/>
      <c r="F28" s="119"/>
      <c r="G28" s="120"/>
    </row>
    <row r="29" spans="1:11" x14ac:dyDescent="0.45">
      <c r="A29" s="69">
        <v>3</v>
      </c>
      <c r="B29" s="119" t="s">
        <v>45</v>
      </c>
      <c r="C29" s="119"/>
      <c r="D29" s="119"/>
      <c r="E29" s="119"/>
      <c r="F29" s="119"/>
      <c r="G29" s="120"/>
    </row>
    <row r="30" spans="1:11" x14ac:dyDescent="0.45">
      <c r="A30" s="69">
        <v>4</v>
      </c>
      <c r="B30" s="119" t="s">
        <v>42</v>
      </c>
      <c r="C30" s="119"/>
      <c r="D30" s="119"/>
      <c r="E30" s="119"/>
      <c r="F30" s="119"/>
      <c r="G30" s="120"/>
    </row>
    <row r="31" spans="1:11" x14ac:dyDescent="0.45">
      <c r="A31" s="69">
        <v>5</v>
      </c>
      <c r="B31" s="119" t="s">
        <v>43</v>
      </c>
      <c r="C31" s="119"/>
      <c r="D31" s="119"/>
      <c r="E31" s="119"/>
      <c r="F31" s="119"/>
      <c r="G31" s="120"/>
    </row>
    <row r="32" spans="1:11" ht="15.75" thickBot="1" x14ac:dyDescent="0.5">
      <c r="A32" s="70">
        <v>6</v>
      </c>
      <c r="B32" s="121" t="s">
        <v>44</v>
      </c>
      <c r="C32" s="121"/>
      <c r="D32" s="121"/>
      <c r="E32" s="121"/>
      <c r="F32" s="121"/>
      <c r="G32" s="122"/>
    </row>
    <row r="35" spans="1:11" ht="33.4" customHeight="1" thickBot="1" x14ac:dyDescent="0.5">
      <c r="A35" s="56" t="s">
        <v>46</v>
      </c>
      <c r="B35" s="137" t="s">
        <v>67</v>
      </c>
      <c r="C35" s="137"/>
      <c r="D35" s="138" t="s">
        <v>105</v>
      </c>
      <c r="E35" s="49"/>
      <c r="F35" s="49"/>
      <c r="G35" s="49"/>
      <c r="H35" s="49"/>
      <c r="I35" s="49"/>
      <c r="J35" s="49"/>
      <c r="K35" s="49"/>
    </row>
    <row r="36" spans="1:11" ht="18.399999999999999" customHeight="1" thickBot="1" x14ac:dyDescent="0.5">
      <c r="A36" s="43" t="s">
        <v>66</v>
      </c>
      <c r="B36" s="57" t="s">
        <v>61</v>
      </c>
      <c r="C36" s="44" t="s">
        <v>62</v>
      </c>
      <c r="D36" s="139"/>
    </row>
    <row r="37" spans="1:11" x14ac:dyDescent="0.45">
      <c r="A37" s="60" t="s">
        <v>54</v>
      </c>
      <c r="B37" s="59">
        <v>0</v>
      </c>
      <c r="C37" s="61">
        <v>0</v>
      </c>
      <c r="D37" s="139"/>
    </row>
    <row r="38" spans="1:11" x14ac:dyDescent="0.45">
      <c r="A38" s="62" t="s">
        <v>54</v>
      </c>
      <c r="B38" s="58">
        <v>0</v>
      </c>
      <c r="C38" s="63">
        <v>14000</v>
      </c>
      <c r="D38" s="139"/>
    </row>
    <row r="39" spans="1:11" x14ac:dyDescent="0.45">
      <c r="A39" s="62" t="s">
        <v>55</v>
      </c>
      <c r="B39" s="58">
        <v>0</v>
      </c>
      <c r="C39" s="63">
        <v>0</v>
      </c>
      <c r="D39" s="139"/>
    </row>
    <row r="40" spans="1:11" x14ac:dyDescent="0.45">
      <c r="A40" s="62" t="s">
        <v>55</v>
      </c>
      <c r="B40" s="58">
        <v>18000</v>
      </c>
      <c r="C40" s="63">
        <v>0</v>
      </c>
      <c r="D40" s="139"/>
    </row>
    <row r="41" spans="1:11" x14ac:dyDescent="0.45">
      <c r="A41" s="62" t="s">
        <v>56</v>
      </c>
      <c r="B41" s="58">
        <v>0</v>
      </c>
      <c r="C41" s="63">
        <v>10000</v>
      </c>
      <c r="D41" s="139"/>
    </row>
    <row r="42" spans="1:11" x14ac:dyDescent="0.45">
      <c r="A42" s="62" t="s">
        <v>56</v>
      </c>
      <c r="B42" s="58">
        <v>10000</v>
      </c>
      <c r="C42" s="63">
        <v>0</v>
      </c>
      <c r="D42" s="139"/>
    </row>
    <row r="43" spans="1:11" x14ac:dyDescent="0.45">
      <c r="A43" s="62" t="s">
        <v>57</v>
      </c>
      <c r="B43" s="58">
        <v>0</v>
      </c>
      <c r="C43" s="63">
        <v>14000</v>
      </c>
      <c r="D43" s="139"/>
    </row>
    <row r="44" spans="1:11" x14ac:dyDescent="0.45">
      <c r="A44" s="62" t="s">
        <v>57</v>
      </c>
      <c r="B44" s="58">
        <v>7000</v>
      </c>
      <c r="C44" s="63">
        <v>0</v>
      </c>
      <c r="D44" s="139"/>
    </row>
    <row r="45" spans="1:11" x14ac:dyDescent="0.45">
      <c r="A45" s="62" t="s">
        <v>53</v>
      </c>
      <c r="B45" s="58">
        <v>0</v>
      </c>
      <c r="C45" s="63">
        <v>9000</v>
      </c>
      <c r="D45" s="139"/>
    </row>
    <row r="46" spans="1:11" x14ac:dyDescent="0.45">
      <c r="A46" s="62" t="s">
        <v>53</v>
      </c>
      <c r="B46" s="58">
        <v>18000</v>
      </c>
      <c r="C46" s="63">
        <v>0</v>
      </c>
      <c r="D46" s="139"/>
    </row>
    <row r="47" spans="1:11" x14ac:dyDescent="0.45">
      <c r="A47" s="62" t="s">
        <v>58</v>
      </c>
      <c r="B47" s="58">
        <v>6000</v>
      </c>
      <c r="C47" s="64">
        <v>14000</v>
      </c>
      <c r="D47" s="139"/>
    </row>
    <row r="48" spans="1:11" ht="15.75" thickBot="1" x14ac:dyDescent="0.5">
      <c r="A48" s="65" t="s">
        <v>58</v>
      </c>
      <c r="B48" s="66">
        <v>6000</v>
      </c>
      <c r="C48" s="67">
        <v>0</v>
      </c>
      <c r="D48" s="140"/>
    </row>
    <row r="49" spans="1:11" x14ac:dyDescent="0.45">
      <c r="A49" s="75"/>
    </row>
    <row r="50" spans="1:11" s="75" customFormat="1" x14ac:dyDescent="0.45"/>
    <row r="51" spans="1:11" s="75" customFormat="1" x14ac:dyDescent="0.45"/>
    <row r="52" spans="1:11" x14ac:dyDescent="0.45">
      <c r="A52" s="75"/>
    </row>
    <row r="53" spans="1:11" s="75" customFormat="1" x14ac:dyDescent="0.45">
      <c r="A53" s="81"/>
    </row>
    <row r="54" spans="1:11" x14ac:dyDescent="0.45">
      <c r="A54" s="116" t="s">
        <v>103</v>
      </c>
      <c r="B54" s="117"/>
      <c r="C54" s="117"/>
      <c r="D54" s="117"/>
      <c r="E54" s="117"/>
      <c r="F54" s="117"/>
      <c r="G54" s="117"/>
      <c r="H54" s="117"/>
      <c r="I54" s="117"/>
      <c r="J54" s="117"/>
      <c r="K54" s="118"/>
    </row>
    <row r="55" spans="1:11" ht="15.75" thickBot="1" x14ac:dyDescent="0.5">
      <c r="A55" s="134" t="s">
        <v>104</v>
      </c>
      <c r="B55" s="135"/>
      <c r="C55" s="135"/>
      <c r="D55" s="135"/>
      <c r="E55" s="135"/>
      <c r="F55" s="135"/>
      <c r="G55" s="135"/>
      <c r="H55" s="135"/>
      <c r="I55" s="135"/>
      <c r="J55" s="135"/>
      <c r="K55" s="136"/>
    </row>
    <row r="56" spans="1:11" ht="15.75" thickBot="1" x14ac:dyDescent="0.5">
      <c r="B56" s="169" t="s">
        <v>49</v>
      </c>
      <c r="C56" s="170"/>
      <c r="D56" s="28" t="s">
        <v>50</v>
      </c>
      <c r="E56" s="29" t="s">
        <v>51</v>
      </c>
      <c r="G56" s="42" t="s">
        <v>48</v>
      </c>
      <c r="H56" s="45">
        <v>100</v>
      </c>
      <c r="I56" s="45">
        <v>120</v>
      </c>
      <c r="J56" s="166" t="s">
        <v>63</v>
      </c>
    </row>
    <row r="57" spans="1:11" ht="18.399999999999999" thickBot="1" x14ac:dyDescent="0.5">
      <c r="A57" s="27" t="s">
        <v>52</v>
      </c>
      <c r="B57" s="30" t="s">
        <v>61</v>
      </c>
      <c r="C57" s="31" t="s">
        <v>62</v>
      </c>
      <c r="D57" s="32" t="s">
        <v>60</v>
      </c>
      <c r="E57" s="33" t="s">
        <v>59</v>
      </c>
      <c r="F57" s="41" t="s">
        <v>47</v>
      </c>
      <c r="G57" s="42" t="s">
        <v>47</v>
      </c>
      <c r="H57" s="42" t="s">
        <v>61</v>
      </c>
      <c r="I57" s="42" t="s">
        <v>62</v>
      </c>
      <c r="J57" s="167"/>
    </row>
    <row r="58" spans="1:11" ht="15.75" thickBot="1" x14ac:dyDescent="0.5">
      <c r="A58" s="25" t="s">
        <v>53</v>
      </c>
      <c r="B58" s="34">
        <v>1</v>
      </c>
      <c r="C58" s="34">
        <v>2</v>
      </c>
      <c r="D58" s="36">
        <v>18000</v>
      </c>
      <c r="E58" s="37" cm="1">
        <f t="array" ref="E58:E59">MMULT(MINVERSE(B58:C59),D58:D59)</f>
        <v>2000</v>
      </c>
      <c r="F58" s="164">
        <v>3</v>
      </c>
      <c r="G58" s="46">
        <v>1</v>
      </c>
      <c r="H58" s="47">
        <v>0</v>
      </c>
      <c r="I58" s="47">
        <v>0</v>
      </c>
      <c r="J58" s="48">
        <f>SUMPRODUCT($H$56:$I$56,H58:I58)</f>
        <v>0</v>
      </c>
    </row>
    <row r="59" spans="1:11" ht="15.75" thickBot="1" x14ac:dyDescent="0.5">
      <c r="A59" s="26" t="s">
        <v>56</v>
      </c>
      <c r="B59" s="35">
        <v>1</v>
      </c>
      <c r="C59" s="35">
        <v>1</v>
      </c>
      <c r="D59" s="38">
        <v>10000</v>
      </c>
      <c r="E59" s="39">
        <v>8000</v>
      </c>
      <c r="F59" s="165"/>
      <c r="G59" s="46">
        <v>2</v>
      </c>
      <c r="H59" s="47">
        <v>0</v>
      </c>
      <c r="I59" s="47">
        <v>9000</v>
      </c>
      <c r="J59" s="48">
        <f t="shared" ref="J59:J63" si="0">SUMPRODUCT($H$56:$I$56,H59:I59)</f>
        <v>1080000</v>
      </c>
    </row>
    <row r="60" spans="1:11" ht="15.75" thickBot="1" x14ac:dyDescent="0.5">
      <c r="A60" s="25" t="s">
        <v>56</v>
      </c>
      <c r="B60" s="34">
        <v>1</v>
      </c>
      <c r="C60" s="34">
        <v>1</v>
      </c>
      <c r="D60" s="36">
        <v>10000</v>
      </c>
      <c r="E60" s="37" cm="1">
        <f t="array" ref="E60:E61">MMULT(MINVERSE(B60:C61),D60:D61)</f>
        <v>4000</v>
      </c>
      <c r="F60" s="164">
        <v>4</v>
      </c>
      <c r="G60" s="46">
        <v>3</v>
      </c>
      <c r="H60" s="47" cm="1">
        <f t="array" ref="H60:I60">TRANSPOSE(_xlfn.ANCHORARRAY(E58))</f>
        <v>2000</v>
      </c>
      <c r="I60" s="47">
        <v>8000</v>
      </c>
      <c r="J60" s="48">
        <f t="shared" si="0"/>
        <v>1160000</v>
      </c>
    </row>
    <row r="61" spans="1:11" ht="15.75" thickBot="1" x14ac:dyDescent="0.5">
      <c r="A61" s="26" t="s">
        <v>57</v>
      </c>
      <c r="B61" s="35">
        <v>2</v>
      </c>
      <c r="C61" s="35">
        <v>1</v>
      </c>
      <c r="D61" s="38">
        <v>14000</v>
      </c>
      <c r="E61" s="39">
        <v>6000</v>
      </c>
      <c r="F61" s="165"/>
      <c r="G61" s="46">
        <v>4</v>
      </c>
      <c r="H61" s="47" cm="1">
        <f t="array" ref="H61:I61">TRANSPOSE(_xlfn.ANCHORARRAY(E60))</f>
        <v>4000</v>
      </c>
      <c r="I61" s="47">
        <v>6000</v>
      </c>
      <c r="J61" s="48">
        <f t="shared" si="0"/>
        <v>1120000</v>
      </c>
    </row>
    <row r="62" spans="1:11" ht="15.75" thickBot="1" x14ac:dyDescent="0.5">
      <c r="A62" s="25" t="s">
        <v>57</v>
      </c>
      <c r="B62" s="34">
        <v>2</v>
      </c>
      <c r="C62" s="34">
        <v>1</v>
      </c>
      <c r="D62" s="36">
        <v>14000</v>
      </c>
      <c r="E62" s="37" cm="1">
        <f t="array" ref="E62:E63">MMULT(MINVERSE(B62:C63),D62:D63)</f>
        <v>6000</v>
      </c>
      <c r="F62" s="164">
        <v>5</v>
      </c>
      <c r="G62" s="46">
        <v>5</v>
      </c>
      <c r="H62" s="47" cm="1">
        <f t="array" ref="H62:I62">TRANSPOSE(_xlfn.ANCHORARRAY(E62))</f>
        <v>6000</v>
      </c>
      <c r="I62" s="47">
        <v>2000</v>
      </c>
      <c r="J62" s="48">
        <f t="shared" si="0"/>
        <v>840000</v>
      </c>
    </row>
    <row r="63" spans="1:11" ht="15.75" thickBot="1" x14ac:dyDescent="0.5">
      <c r="A63" s="26" t="s">
        <v>58</v>
      </c>
      <c r="B63" s="35">
        <v>1</v>
      </c>
      <c r="C63" s="35">
        <v>0</v>
      </c>
      <c r="D63" s="38">
        <v>6000</v>
      </c>
      <c r="E63" s="39">
        <v>2000</v>
      </c>
      <c r="F63" s="165"/>
      <c r="G63" s="46">
        <v>6</v>
      </c>
      <c r="H63" s="47">
        <v>6000</v>
      </c>
      <c r="I63" s="47">
        <v>0</v>
      </c>
      <c r="J63" s="48">
        <f t="shared" si="0"/>
        <v>600000</v>
      </c>
    </row>
    <row r="64" spans="1:11" s="75" customFormat="1" ht="3.75" customHeight="1" thickBot="1" x14ac:dyDescent="0.5"/>
    <row r="65" spans="1:11" ht="21.75" customHeight="1" thickBot="1" x14ac:dyDescent="0.5">
      <c r="B65" s="49" t="str" cm="1">
        <f t="array" aca="1" ref="B65:B70" ca="1">_xlfn.IFNA(_xlfn.FORMULATEXT($E$58:$E$63),"")</f>
        <v>=MMULT(MINVERSE(B58:C59),D58:D59)</v>
      </c>
      <c r="C65" s="49"/>
      <c r="D65" s="49"/>
      <c r="E65" s="74"/>
      <c r="F65" s="109" t="s">
        <v>106</v>
      </c>
      <c r="G65" s="110"/>
      <c r="H65" s="110"/>
      <c r="I65" s="110"/>
      <c r="J65" s="111"/>
    </row>
    <row r="66" spans="1:11" ht="18" x14ac:dyDescent="0.45">
      <c r="B66" s="75" t="str">
        <f ca="1"/>
        <v/>
      </c>
      <c r="C66" s="75"/>
      <c r="D66" s="75"/>
      <c r="E66" s="75"/>
      <c r="F66" s="86" t="s">
        <v>61</v>
      </c>
      <c r="G66" s="82">
        <f>0</f>
        <v>0</v>
      </c>
      <c r="H66" s="82">
        <v>2000</v>
      </c>
      <c r="I66" s="82">
        <v>5000</v>
      </c>
      <c r="J66" s="83">
        <v>11600</v>
      </c>
    </row>
    <row r="67" spans="1:11" ht="18.399999999999999" thickBot="1" x14ac:dyDescent="0.5">
      <c r="B67" s="49" t="str">
        <f ca="1"/>
        <v>=MMULT(MINVERSE(B60:C61),D60:D61)</v>
      </c>
      <c r="C67" s="49"/>
      <c r="D67" s="49"/>
      <c r="E67" s="49"/>
      <c r="F67" s="87" t="s">
        <v>62</v>
      </c>
      <c r="G67" s="84">
        <f>29000/3-(5/6)*G66</f>
        <v>9666.6666666666661</v>
      </c>
      <c r="H67" s="84">
        <f t="shared" ref="H67:J67" si="1">29000/3-(5/6)*H66</f>
        <v>7999.9999999999991</v>
      </c>
      <c r="I67" s="84">
        <f t="shared" si="1"/>
        <v>5499.9999999999991</v>
      </c>
      <c r="J67" s="85">
        <f t="shared" si="1"/>
        <v>0</v>
      </c>
    </row>
    <row r="68" spans="1:11" ht="15.75" thickBot="1" x14ac:dyDescent="0.5">
      <c r="B68" s="75" t="str">
        <f ca="1"/>
        <v/>
      </c>
      <c r="C68" s="75"/>
      <c r="D68" s="75"/>
      <c r="E68" s="75"/>
    </row>
    <row r="69" spans="1:11" x14ac:dyDescent="0.45">
      <c r="B69" s="49" t="str">
        <f ca="1"/>
        <v>=MMULT(MINVERSE(B62:C63),D62:D63)</v>
      </c>
      <c r="C69" s="49"/>
      <c r="D69" s="49"/>
      <c r="E69" s="49"/>
      <c r="G69" s="100" t="s">
        <v>102</v>
      </c>
      <c r="H69" s="101"/>
      <c r="I69" s="101"/>
      <c r="J69" s="102"/>
    </row>
    <row r="70" spans="1:11" ht="15.75" thickBot="1" x14ac:dyDescent="0.5">
      <c r="B70" s="75" t="str">
        <f ca="1"/>
        <v/>
      </c>
      <c r="C70" s="75"/>
      <c r="D70" s="75"/>
      <c r="E70" s="75"/>
      <c r="G70" s="106"/>
      <c r="H70" s="107"/>
      <c r="I70" s="107"/>
      <c r="J70" s="108"/>
    </row>
    <row r="72" spans="1:11" x14ac:dyDescent="0.45">
      <c r="A72" s="71" t="s">
        <v>64</v>
      </c>
      <c r="B72" s="132" t="s">
        <v>65</v>
      </c>
      <c r="C72" s="132"/>
      <c r="D72" s="132"/>
      <c r="E72" s="132"/>
      <c r="F72" s="132"/>
      <c r="G72" s="132"/>
      <c r="H72" s="132"/>
      <c r="I72" s="132"/>
      <c r="J72" s="132"/>
      <c r="K72" s="132"/>
    </row>
    <row r="73" spans="1:11" x14ac:dyDescent="0.45">
      <c r="A73" s="126" t="s">
        <v>68</v>
      </c>
      <c r="B73" s="126"/>
      <c r="C73" s="126"/>
      <c r="D73" s="126"/>
      <c r="E73" s="126"/>
      <c r="F73" s="126"/>
      <c r="G73" s="126"/>
      <c r="H73" s="126"/>
      <c r="I73" s="126"/>
      <c r="J73" s="126"/>
      <c r="K73" s="126"/>
    </row>
    <row r="74" spans="1:11" x14ac:dyDescent="0.45">
      <c r="A74" s="126"/>
      <c r="B74" s="126"/>
      <c r="C74" s="126"/>
      <c r="D74" s="126"/>
      <c r="E74" s="126"/>
      <c r="F74" s="126"/>
      <c r="G74" s="126"/>
      <c r="H74" s="126"/>
      <c r="I74" s="126"/>
      <c r="J74" s="126"/>
      <c r="K74" s="126"/>
    </row>
    <row r="80" spans="1:11" ht="15.75" thickBot="1" x14ac:dyDescent="0.5"/>
    <row r="81" spans="1:12" ht="15.75" thickBot="1" x14ac:dyDescent="0.5">
      <c r="A81" s="127" t="s">
        <v>39</v>
      </c>
      <c r="B81" s="128"/>
      <c r="C81" s="128"/>
      <c r="D81" s="128"/>
      <c r="E81" s="128"/>
      <c r="F81" s="128"/>
      <c r="G81" s="129"/>
    </row>
    <row r="82" spans="1:12" x14ac:dyDescent="0.45">
      <c r="A82" s="68">
        <v>1</v>
      </c>
      <c r="B82" s="130" t="s">
        <v>40</v>
      </c>
      <c r="C82" s="130"/>
      <c r="D82" s="130"/>
      <c r="E82" s="130"/>
      <c r="F82" s="130"/>
      <c r="G82" s="131"/>
    </row>
    <row r="83" spans="1:12" x14ac:dyDescent="0.45">
      <c r="A83" s="69">
        <v>2</v>
      </c>
      <c r="B83" s="119" t="s">
        <v>41</v>
      </c>
      <c r="C83" s="119"/>
      <c r="D83" s="119"/>
      <c r="E83" s="119"/>
      <c r="F83" s="119"/>
      <c r="G83" s="120"/>
    </row>
    <row r="84" spans="1:12" x14ac:dyDescent="0.45">
      <c r="A84" s="69">
        <v>3</v>
      </c>
      <c r="B84" s="119" t="s">
        <v>45</v>
      </c>
      <c r="C84" s="119"/>
      <c r="D84" s="119"/>
      <c r="E84" s="119"/>
      <c r="F84" s="119"/>
      <c r="G84" s="120"/>
    </row>
    <row r="85" spans="1:12" x14ac:dyDescent="0.45">
      <c r="A85" s="69">
        <v>4</v>
      </c>
      <c r="B85" s="119" t="s">
        <v>42</v>
      </c>
      <c r="C85" s="119"/>
      <c r="D85" s="119"/>
      <c r="E85" s="119"/>
      <c r="F85" s="119"/>
      <c r="G85" s="120"/>
    </row>
    <row r="86" spans="1:12" x14ac:dyDescent="0.45">
      <c r="A86" s="69">
        <v>5</v>
      </c>
      <c r="B86" s="119" t="s">
        <v>43</v>
      </c>
      <c r="C86" s="119"/>
      <c r="D86" s="119"/>
      <c r="E86" s="119"/>
      <c r="F86" s="119"/>
      <c r="G86" s="120"/>
    </row>
    <row r="87" spans="1:12" ht="15.75" thickBot="1" x14ac:dyDescent="0.5">
      <c r="A87" s="70">
        <v>6</v>
      </c>
      <c r="B87" s="121" t="s">
        <v>44</v>
      </c>
      <c r="C87" s="121"/>
      <c r="D87" s="121"/>
      <c r="E87" s="121"/>
      <c r="F87" s="121"/>
      <c r="G87" s="122"/>
    </row>
    <row r="88" spans="1:12" s="11" customFormat="1" ht="15.75" thickBot="1" x14ac:dyDescent="0.5"/>
    <row r="89" spans="1:12" x14ac:dyDescent="0.45">
      <c r="A89" s="148" t="s">
        <v>87</v>
      </c>
      <c r="B89" s="149"/>
      <c r="C89" s="149"/>
      <c r="D89" s="149"/>
      <c r="E89" s="149"/>
      <c r="F89" s="149"/>
      <c r="G89" s="150"/>
    </row>
    <row r="90" spans="1:12" ht="15.75" thickBot="1" x14ac:dyDescent="0.5">
      <c r="A90" s="78" t="s">
        <v>31</v>
      </c>
      <c r="B90" s="79" t="s">
        <v>27</v>
      </c>
      <c r="C90" s="151" t="s">
        <v>32</v>
      </c>
      <c r="D90" s="151"/>
      <c r="E90" s="151"/>
      <c r="F90" s="151"/>
      <c r="G90" s="152"/>
    </row>
    <row r="91" spans="1:12" ht="18" thickBot="1" x14ac:dyDescent="0.5">
      <c r="A91" s="52" t="s">
        <v>81</v>
      </c>
      <c r="B91" s="53" t="s">
        <v>85</v>
      </c>
      <c r="C91" s="153" t="s">
        <v>88</v>
      </c>
      <c r="D91" s="153"/>
      <c r="E91" s="153"/>
      <c r="F91" s="153"/>
      <c r="G91" s="154"/>
    </row>
    <row r="92" spans="1:12" s="11" customFormat="1" ht="18" thickBot="1" x14ac:dyDescent="0.5">
      <c r="A92" s="52" t="s">
        <v>82</v>
      </c>
      <c r="B92" s="53" t="s">
        <v>86</v>
      </c>
      <c r="C92" s="97" t="s">
        <v>89</v>
      </c>
      <c r="D92" s="97"/>
      <c r="E92" s="97"/>
      <c r="F92" s="97"/>
      <c r="G92" s="155"/>
    </row>
    <row r="93" spans="1:12" s="11" customFormat="1" ht="18" thickBot="1" x14ac:dyDescent="0.5">
      <c r="A93" s="52" t="s">
        <v>83</v>
      </c>
      <c r="B93" s="53" t="s">
        <v>86</v>
      </c>
      <c r="C93" s="97" t="s">
        <v>90</v>
      </c>
      <c r="D93" s="97"/>
      <c r="E93" s="97"/>
      <c r="F93" s="97"/>
      <c r="G93" s="155"/>
    </row>
    <row r="94" spans="1:12" s="11" customFormat="1" ht="18" thickBot="1" x14ac:dyDescent="0.5">
      <c r="A94" s="52" t="s">
        <v>84</v>
      </c>
      <c r="B94" s="53" t="s">
        <v>86</v>
      </c>
      <c r="C94" s="174" t="s">
        <v>91</v>
      </c>
      <c r="D94" s="174"/>
      <c r="E94" s="174"/>
      <c r="F94" s="174"/>
      <c r="G94" s="175"/>
    </row>
    <row r="95" spans="1:12" s="11" customFormat="1" x14ac:dyDescent="0.45"/>
    <row r="96" spans="1:12" x14ac:dyDescent="0.45">
      <c r="A96" s="116" t="s">
        <v>118</v>
      </c>
      <c r="B96" s="117"/>
      <c r="C96" s="117"/>
      <c r="D96" s="117"/>
      <c r="E96" s="117"/>
      <c r="F96" s="117"/>
      <c r="G96" s="117"/>
      <c r="H96" s="117"/>
      <c r="I96" s="117"/>
      <c r="J96" s="117"/>
      <c r="K96" s="117"/>
      <c r="L96" s="118"/>
    </row>
    <row r="97" spans="1:12" x14ac:dyDescent="0.45">
      <c r="A97" s="171" t="s">
        <v>92</v>
      </c>
      <c r="B97" s="172"/>
      <c r="C97" s="172"/>
      <c r="D97" s="172"/>
      <c r="E97" s="172"/>
      <c r="F97" s="172"/>
      <c r="G97" s="172"/>
      <c r="H97" s="172"/>
      <c r="I97" s="172"/>
      <c r="J97" s="172"/>
      <c r="K97" s="172"/>
      <c r="L97" s="173"/>
    </row>
    <row r="98" spans="1:12" ht="33" x14ac:dyDescent="0.45">
      <c r="A98" s="72" t="s">
        <v>74</v>
      </c>
      <c r="B98" s="72" t="s">
        <v>61</v>
      </c>
      <c r="C98" s="72" t="s">
        <v>62</v>
      </c>
      <c r="D98" s="72" t="s">
        <v>75</v>
      </c>
      <c r="E98" s="72" t="s">
        <v>76</v>
      </c>
      <c r="F98" s="72" t="s">
        <v>77</v>
      </c>
      <c r="G98" s="72" t="s">
        <v>78</v>
      </c>
      <c r="H98" s="72" t="s">
        <v>69</v>
      </c>
      <c r="I98" s="73" t="s">
        <v>70</v>
      </c>
      <c r="J98" s="72" t="s">
        <v>73</v>
      </c>
      <c r="K98" s="72" t="s">
        <v>80</v>
      </c>
      <c r="L98" s="72" t="s">
        <v>79</v>
      </c>
    </row>
    <row r="99" spans="1:12" x14ac:dyDescent="0.45">
      <c r="A99" s="58" t="s">
        <v>71</v>
      </c>
      <c r="B99" s="93">
        <v>0</v>
      </c>
      <c r="C99" s="93">
        <v>0</v>
      </c>
      <c r="D99" s="93">
        <v>10000</v>
      </c>
      <c r="E99" s="93">
        <v>14000</v>
      </c>
      <c r="F99" s="93">
        <v>18000</v>
      </c>
      <c r="G99" s="93">
        <v>6000</v>
      </c>
      <c r="H99" s="58"/>
      <c r="I99" s="58"/>
      <c r="J99" s="58"/>
      <c r="K99" s="58"/>
      <c r="L99" s="58"/>
    </row>
    <row r="100" spans="1:12" x14ac:dyDescent="0.45">
      <c r="A100" s="58" t="s">
        <v>72</v>
      </c>
      <c r="B100" s="58">
        <v>-100</v>
      </c>
      <c r="C100" s="58">
        <v>-120</v>
      </c>
      <c r="D100" s="58">
        <v>0</v>
      </c>
      <c r="E100" s="58">
        <v>0</v>
      </c>
      <c r="F100" s="58">
        <v>0</v>
      </c>
      <c r="G100" s="58">
        <v>0</v>
      </c>
      <c r="H100" s="58"/>
      <c r="I100" s="77">
        <f>SUMPRODUCT(B99:G99,$B$100:$G$100)</f>
        <v>0</v>
      </c>
      <c r="J100" s="58">
        <f>MIN(B100:G100)</f>
        <v>-120</v>
      </c>
      <c r="K100" s="58">
        <f>MATCH(J100,B100:G100,0)</f>
        <v>2</v>
      </c>
      <c r="L100" s="58"/>
    </row>
    <row r="101" spans="1:12" x14ac:dyDescent="0.45">
      <c r="A101" s="58" t="s">
        <v>56</v>
      </c>
      <c r="B101" s="58">
        <v>1</v>
      </c>
      <c r="C101" s="58">
        <v>1</v>
      </c>
      <c r="D101" s="58">
        <v>1</v>
      </c>
      <c r="E101" s="58">
        <v>0</v>
      </c>
      <c r="F101" s="58">
        <v>0</v>
      </c>
      <c r="G101" s="58">
        <v>0</v>
      </c>
      <c r="H101" s="58">
        <v>10000</v>
      </c>
      <c r="I101" s="58"/>
      <c r="J101" s="58" t="str">
        <f>IF(J100&lt;0,"Continue","STOP")</f>
        <v>Continue</v>
      </c>
      <c r="K101" s="58"/>
      <c r="L101" s="58">
        <f ca="1">H101/OFFSET(A101,0,$K$100)</f>
        <v>10000</v>
      </c>
    </row>
    <row r="102" spans="1:12" x14ac:dyDescent="0.45">
      <c r="A102" s="58" t="s">
        <v>57</v>
      </c>
      <c r="B102" s="58">
        <v>2</v>
      </c>
      <c r="C102" s="58">
        <v>1</v>
      </c>
      <c r="D102" s="58">
        <v>0</v>
      </c>
      <c r="E102" s="58">
        <v>1</v>
      </c>
      <c r="F102" s="58">
        <v>0</v>
      </c>
      <c r="G102" s="58">
        <v>0</v>
      </c>
      <c r="H102" s="58">
        <v>14000</v>
      </c>
      <c r="I102" s="58"/>
      <c r="J102" s="58"/>
      <c r="K102" s="58"/>
      <c r="L102" s="58">
        <f t="shared" ref="L102:L104" ca="1" si="2">H102/OFFSET(A102,0,$K$100)</f>
        <v>14000</v>
      </c>
    </row>
    <row r="103" spans="1:12" x14ac:dyDescent="0.45">
      <c r="A103" s="58" t="s">
        <v>53</v>
      </c>
      <c r="B103" s="58">
        <v>1</v>
      </c>
      <c r="C103" s="58">
        <v>2</v>
      </c>
      <c r="D103" s="58">
        <v>0</v>
      </c>
      <c r="E103" s="58">
        <v>0</v>
      </c>
      <c r="F103" s="58">
        <v>1</v>
      </c>
      <c r="G103" s="58">
        <v>0</v>
      </c>
      <c r="H103" s="58">
        <v>18000</v>
      </c>
      <c r="I103" s="58"/>
      <c r="J103" s="58"/>
      <c r="K103" s="58"/>
      <c r="L103" s="80">
        <f t="shared" ca="1" si="2"/>
        <v>9000</v>
      </c>
    </row>
    <row r="104" spans="1:12" x14ac:dyDescent="0.45">
      <c r="A104" s="58" t="s">
        <v>58</v>
      </c>
      <c r="B104" s="58">
        <v>1</v>
      </c>
      <c r="C104" s="58">
        <v>0</v>
      </c>
      <c r="D104" s="58">
        <v>0</v>
      </c>
      <c r="E104" s="58">
        <v>0</v>
      </c>
      <c r="F104" s="58">
        <v>0</v>
      </c>
      <c r="G104" s="58">
        <v>1</v>
      </c>
      <c r="H104" s="58">
        <v>6000</v>
      </c>
      <c r="I104" s="58"/>
      <c r="J104" s="58"/>
      <c r="K104" s="58"/>
      <c r="L104" s="58" t="e">
        <f t="shared" ca="1" si="2"/>
        <v>#DIV/0!</v>
      </c>
    </row>
    <row r="105" spans="1:12" ht="17.649999999999999" x14ac:dyDescent="0.6">
      <c r="A105" s="113" t="s">
        <v>94</v>
      </c>
      <c r="B105" s="114"/>
      <c r="C105" s="114"/>
      <c r="D105" s="114"/>
      <c r="E105" s="114"/>
      <c r="F105" s="114"/>
      <c r="G105" s="114"/>
      <c r="H105" s="114"/>
      <c r="I105" s="114"/>
      <c r="J105" s="114"/>
      <c r="K105" s="114"/>
      <c r="L105" s="115"/>
    </row>
    <row r="106" spans="1:12" ht="17.649999999999999" x14ac:dyDescent="0.6">
      <c r="A106" s="116" t="s">
        <v>97</v>
      </c>
      <c r="B106" s="117"/>
      <c r="C106" s="117"/>
      <c r="D106" s="117"/>
      <c r="E106" s="117"/>
      <c r="F106" s="117"/>
      <c r="G106" s="117"/>
      <c r="H106" s="117"/>
      <c r="I106" s="117"/>
      <c r="J106" s="117"/>
      <c r="K106" s="117"/>
      <c r="L106" s="118"/>
    </row>
    <row r="107" spans="1:12" x14ac:dyDescent="0.45">
      <c r="A107" s="116" t="s">
        <v>98</v>
      </c>
      <c r="B107" s="117"/>
      <c r="C107" s="117"/>
      <c r="D107" s="117"/>
      <c r="E107" s="117"/>
      <c r="F107" s="117"/>
      <c r="G107" s="117"/>
      <c r="H107" s="117"/>
      <c r="I107" s="117"/>
      <c r="J107" s="117"/>
      <c r="K107" s="117"/>
      <c r="L107" s="118"/>
    </row>
    <row r="108" spans="1:12" s="11" customFormat="1" x14ac:dyDescent="0.45">
      <c r="A108" s="171" t="s">
        <v>93</v>
      </c>
      <c r="B108" s="172"/>
      <c r="C108" s="172"/>
      <c r="D108" s="172"/>
      <c r="E108" s="172"/>
      <c r="F108" s="172"/>
      <c r="G108" s="172"/>
      <c r="H108" s="172"/>
      <c r="I108" s="172"/>
      <c r="J108" s="172"/>
      <c r="K108" s="172"/>
      <c r="L108" s="173"/>
    </row>
    <row r="109" spans="1:12" ht="33" x14ac:dyDescent="0.45">
      <c r="A109" s="72" t="s">
        <v>74</v>
      </c>
      <c r="B109" s="72" t="s">
        <v>61</v>
      </c>
      <c r="C109" s="72" t="s">
        <v>62</v>
      </c>
      <c r="D109" s="72" t="s">
        <v>75</v>
      </c>
      <c r="E109" s="72" t="s">
        <v>76</v>
      </c>
      <c r="F109" s="72" t="s">
        <v>77</v>
      </c>
      <c r="G109" s="72" t="s">
        <v>78</v>
      </c>
      <c r="H109" s="72" t="s">
        <v>69</v>
      </c>
      <c r="I109" s="73" t="s">
        <v>70</v>
      </c>
      <c r="J109" s="72" t="s">
        <v>73</v>
      </c>
      <c r="K109" s="72" t="s">
        <v>80</v>
      </c>
      <c r="L109" s="72" t="s">
        <v>79</v>
      </c>
    </row>
    <row r="110" spans="1:12" x14ac:dyDescent="0.45">
      <c r="A110" s="58" t="s">
        <v>71</v>
      </c>
      <c r="B110" s="58">
        <v>0</v>
      </c>
      <c r="C110" s="58">
        <f>H114</f>
        <v>9000</v>
      </c>
      <c r="D110" s="58">
        <v>1000</v>
      </c>
      <c r="E110" s="58">
        <v>14000</v>
      </c>
      <c r="F110" s="58">
        <v>0</v>
      </c>
      <c r="G110" s="58">
        <v>6000</v>
      </c>
      <c r="H110" s="58"/>
      <c r="I110" s="58"/>
      <c r="J110" s="58"/>
      <c r="K110" s="58"/>
      <c r="L110" s="58"/>
    </row>
    <row r="111" spans="1:12" x14ac:dyDescent="0.45">
      <c r="A111" s="58" t="s">
        <v>72</v>
      </c>
      <c r="B111" s="58">
        <f t="shared" ref="B111:G111" si="3">-$C$100*B114+B100</f>
        <v>-40</v>
      </c>
      <c r="C111" s="58">
        <f t="shared" si="3"/>
        <v>0</v>
      </c>
      <c r="D111" s="58">
        <f t="shared" si="3"/>
        <v>0</v>
      </c>
      <c r="E111" s="58">
        <f t="shared" si="3"/>
        <v>0</v>
      </c>
      <c r="F111" s="58">
        <f t="shared" si="3"/>
        <v>60</v>
      </c>
      <c r="G111" s="58">
        <f t="shared" si="3"/>
        <v>0</v>
      </c>
      <c r="H111" s="58"/>
      <c r="I111" s="77">
        <f>SUMPRODUCT(B110:G110,$B$100:$G$100)</f>
        <v>-1080000</v>
      </c>
      <c r="J111" s="58">
        <f>MIN(B111:G111)</f>
        <v>-40</v>
      </c>
      <c r="K111" s="58">
        <f>MATCH(J111,B111:G111,0)</f>
        <v>1</v>
      </c>
      <c r="L111" s="58"/>
    </row>
    <row r="112" spans="1:12" x14ac:dyDescent="0.45">
      <c r="A112" s="58" t="s">
        <v>56</v>
      </c>
      <c r="B112" s="58">
        <f t="shared" ref="B112:H112" si="4">-$C$101*B114+B101</f>
        <v>0.5</v>
      </c>
      <c r="C112" s="58">
        <f t="shared" si="4"/>
        <v>0</v>
      </c>
      <c r="D112" s="58">
        <f t="shared" si="4"/>
        <v>1</v>
      </c>
      <c r="E112" s="58">
        <f t="shared" si="4"/>
        <v>0</v>
      </c>
      <c r="F112" s="58">
        <f t="shared" si="4"/>
        <v>-0.5</v>
      </c>
      <c r="G112" s="58">
        <f t="shared" si="4"/>
        <v>0</v>
      </c>
      <c r="H112" s="58">
        <f t="shared" si="4"/>
        <v>1000</v>
      </c>
      <c r="I112" s="58"/>
      <c r="J112" s="58" t="str">
        <f>IF(J111&lt;0,"Continue","STOP")</f>
        <v>Continue</v>
      </c>
      <c r="K112" s="58"/>
      <c r="L112" s="80">
        <f ca="1">H112/OFFSET(A112,0,$K$111)</f>
        <v>2000</v>
      </c>
    </row>
    <row r="113" spans="1:12" x14ac:dyDescent="0.45">
      <c r="A113" s="58" t="s">
        <v>57</v>
      </c>
      <c r="B113" s="58">
        <f t="shared" ref="B113:H113" si="5">-$C$102*B114+B102</f>
        <v>1.5</v>
      </c>
      <c r="C113" s="58">
        <f t="shared" si="5"/>
        <v>0</v>
      </c>
      <c r="D113" s="58">
        <f t="shared" si="5"/>
        <v>0</v>
      </c>
      <c r="E113" s="58">
        <f t="shared" si="5"/>
        <v>1</v>
      </c>
      <c r="F113" s="58">
        <f t="shared" si="5"/>
        <v>-0.5</v>
      </c>
      <c r="G113" s="58">
        <f t="shared" si="5"/>
        <v>0</v>
      </c>
      <c r="H113" s="58">
        <f t="shared" si="5"/>
        <v>5000</v>
      </c>
      <c r="I113" s="58"/>
      <c r="J113" s="58"/>
      <c r="K113" s="58"/>
      <c r="L113" s="58">
        <f t="shared" ref="L113:L115" ca="1" si="6">H113/OFFSET(A113,0,$K$111)</f>
        <v>3333.3333333333335</v>
      </c>
    </row>
    <row r="114" spans="1:12" x14ac:dyDescent="0.45">
      <c r="A114" s="58" t="s">
        <v>53</v>
      </c>
      <c r="B114" s="58">
        <f t="shared" ref="B114:H114" si="7">B103/$C$103</f>
        <v>0.5</v>
      </c>
      <c r="C114" s="76">
        <f t="shared" si="7"/>
        <v>1</v>
      </c>
      <c r="D114" s="58">
        <f t="shared" si="7"/>
        <v>0</v>
      </c>
      <c r="E114" s="58">
        <f t="shared" si="7"/>
        <v>0</v>
      </c>
      <c r="F114" s="58">
        <f t="shared" si="7"/>
        <v>0.5</v>
      </c>
      <c r="G114" s="58">
        <f t="shared" si="7"/>
        <v>0</v>
      </c>
      <c r="H114" s="58">
        <f t="shared" si="7"/>
        <v>9000</v>
      </c>
      <c r="I114" s="58"/>
      <c r="J114" s="58"/>
      <c r="K114" s="58"/>
      <c r="L114" s="58">
        <f t="shared" ca="1" si="6"/>
        <v>18000</v>
      </c>
    </row>
    <row r="115" spans="1:12" x14ac:dyDescent="0.45">
      <c r="A115" s="58" t="s">
        <v>58</v>
      </c>
      <c r="B115" s="58">
        <v>1</v>
      </c>
      <c r="C115" s="58">
        <v>0</v>
      </c>
      <c r="D115" s="58">
        <v>0</v>
      </c>
      <c r="E115" s="58">
        <v>0</v>
      </c>
      <c r="F115" s="58">
        <v>0</v>
      </c>
      <c r="G115" s="58">
        <v>1</v>
      </c>
      <c r="H115" s="58">
        <v>6000</v>
      </c>
      <c r="I115" s="58"/>
      <c r="J115" s="58"/>
      <c r="K115" s="58"/>
      <c r="L115" s="58">
        <f t="shared" ca="1" si="6"/>
        <v>6000</v>
      </c>
    </row>
    <row r="116" spans="1:12" ht="17.649999999999999" x14ac:dyDescent="0.6">
      <c r="A116" s="113" t="s">
        <v>95</v>
      </c>
      <c r="B116" s="114"/>
      <c r="C116" s="114"/>
      <c r="D116" s="114"/>
      <c r="E116" s="114"/>
      <c r="F116" s="114"/>
      <c r="G116" s="114"/>
      <c r="H116" s="114"/>
      <c r="I116" s="114"/>
      <c r="J116" s="114"/>
      <c r="K116" s="114"/>
      <c r="L116" s="115"/>
    </row>
    <row r="117" spans="1:12" x14ac:dyDescent="0.45">
      <c r="A117" s="116" t="s">
        <v>96</v>
      </c>
      <c r="B117" s="117"/>
      <c r="C117" s="117"/>
      <c r="D117" s="117"/>
      <c r="E117" s="117"/>
      <c r="F117" s="117"/>
      <c r="G117" s="117"/>
      <c r="H117" s="117"/>
      <c r="I117" s="117"/>
      <c r="J117" s="117"/>
      <c r="K117" s="117"/>
      <c r="L117" s="118"/>
    </row>
    <row r="118" spans="1:12" x14ac:dyDescent="0.45">
      <c r="A118" s="116" t="s">
        <v>99</v>
      </c>
      <c r="B118" s="117"/>
      <c r="C118" s="117"/>
      <c r="D118" s="117"/>
      <c r="E118" s="117"/>
      <c r="F118" s="117"/>
      <c r="G118" s="117"/>
      <c r="H118" s="117"/>
      <c r="I118" s="117"/>
      <c r="J118" s="117"/>
      <c r="K118" s="117"/>
      <c r="L118" s="118"/>
    </row>
    <row r="119" spans="1:12" s="11" customFormat="1" x14ac:dyDescent="0.45">
      <c r="A119" s="171" t="s">
        <v>100</v>
      </c>
      <c r="B119" s="172"/>
      <c r="C119" s="172"/>
      <c r="D119" s="172"/>
      <c r="E119" s="172"/>
      <c r="F119" s="172"/>
      <c r="G119" s="172"/>
      <c r="H119" s="172"/>
      <c r="I119" s="172"/>
      <c r="J119" s="172"/>
      <c r="K119" s="172"/>
      <c r="L119" s="173"/>
    </row>
    <row r="120" spans="1:12" ht="33" x14ac:dyDescent="0.45">
      <c r="A120" s="72" t="s">
        <v>74</v>
      </c>
      <c r="B120" s="72" t="s">
        <v>61</v>
      </c>
      <c r="C120" s="72" t="s">
        <v>62</v>
      </c>
      <c r="D120" s="72" t="s">
        <v>75</v>
      </c>
      <c r="E120" s="72" t="s">
        <v>76</v>
      </c>
      <c r="F120" s="72" t="s">
        <v>77</v>
      </c>
      <c r="G120" s="72" t="s">
        <v>78</v>
      </c>
      <c r="H120" s="72" t="s">
        <v>69</v>
      </c>
      <c r="I120" s="73" t="s">
        <v>70</v>
      </c>
      <c r="J120" s="72" t="s">
        <v>73</v>
      </c>
      <c r="K120" s="72" t="s">
        <v>80</v>
      </c>
      <c r="L120" s="72" t="s">
        <v>79</v>
      </c>
    </row>
    <row r="121" spans="1:12" x14ac:dyDescent="0.45">
      <c r="A121" s="58" t="s">
        <v>71</v>
      </c>
      <c r="B121" s="58">
        <f>H123</f>
        <v>2000</v>
      </c>
      <c r="C121" s="58">
        <f>H125</f>
        <v>8000</v>
      </c>
      <c r="D121" s="58">
        <v>0</v>
      </c>
      <c r="E121" s="58">
        <f>H124</f>
        <v>2000</v>
      </c>
      <c r="F121" s="58">
        <v>0</v>
      </c>
      <c r="G121" s="58">
        <f>H126</f>
        <v>4000</v>
      </c>
      <c r="H121" s="58"/>
      <c r="I121" s="58"/>
      <c r="J121" s="58"/>
      <c r="K121" s="58"/>
      <c r="L121" s="58"/>
    </row>
    <row r="122" spans="1:12" x14ac:dyDescent="0.45">
      <c r="A122" s="58" t="s">
        <v>72</v>
      </c>
      <c r="B122" s="58">
        <f>-$B$111*B123+B111</f>
        <v>0</v>
      </c>
      <c r="C122" s="58">
        <f t="shared" ref="C122:G122" si="8">-$B$111*C123+C111</f>
        <v>0</v>
      </c>
      <c r="D122" s="58">
        <f t="shared" si="8"/>
        <v>80</v>
      </c>
      <c r="E122" s="58">
        <f t="shared" si="8"/>
        <v>0</v>
      </c>
      <c r="F122" s="58">
        <f t="shared" si="8"/>
        <v>20</v>
      </c>
      <c r="G122" s="58">
        <f t="shared" si="8"/>
        <v>0</v>
      </c>
      <c r="H122" s="58"/>
      <c r="I122" s="77">
        <f>SUMPRODUCT(B121:G121,$B$100:$G$100)</f>
        <v>-1160000</v>
      </c>
      <c r="J122" s="58">
        <f>MIN(B122:G122)</f>
        <v>0</v>
      </c>
      <c r="K122" s="58">
        <f>MATCH(J122,B122:G122,0)</f>
        <v>1</v>
      </c>
      <c r="L122" s="58"/>
    </row>
    <row r="123" spans="1:12" x14ac:dyDescent="0.45">
      <c r="A123" s="58" t="s">
        <v>56</v>
      </c>
      <c r="B123" s="76">
        <f>B112/$B$112</f>
        <v>1</v>
      </c>
      <c r="C123" s="58">
        <f t="shared" ref="C123:H123" si="9">C112/$B$112</f>
        <v>0</v>
      </c>
      <c r="D123" s="58">
        <f t="shared" si="9"/>
        <v>2</v>
      </c>
      <c r="E123" s="58">
        <f t="shared" si="9"/>
        <v>0</v>
      </c>
      <c r="F123" s="58">
        <f t="shared" si="9"/>
        <v>-1</v>
      </c>
      <c r="G123" s="58">
        <f t="shared" si="9"/>
        <v>0</v>
      </c>
      <c r="H123" s="58">
        <f t="shared" si="9"/>
        <v>2000</v>
      </c>
      <c r="I123" s="58"/>
      <c r="J123" s="58" t="str">
        <f>IF(J122&lt;0,"Continue","STOP")</f>
        <v>STOP</v>
      </c>
      <c r="K123" s="58"/>
      <c r="L123" s="58" t="e">
        <f ca="1">H123/OFFSET(A123,0,$K$100)</f>
        <v>#DIV/0!</v>
      </c>
    </row>
    <row r="124" spans="1:12" x14ac:dyDescent="0.45">
      <c r="A124" s="58" t="s">
        <v>57</v>
      </c>
      <c r="B124" s="58">
        <f>-$B$113*B123+B113</f>
        <v>0</v>
      </c>
      <c r="C124" s="58">
        <f t="shared" ref="C124:H124" si="10">-$B$113*C123+C113</f>
        <v>0</v>
      </c>
      <c r="D124" s="58">
        <f t="shared" si="10"/>
        <v>-3</v>
      </c>
      <c r="E124" s="58">
        <f t="shared" si="10"/>
        <v>1</v>
      </c>
      <c r="F124" s="58">
        <f t="shared" si="10"/>
        <v>1</v>
      </c>
      <c r="G124" s="58">
        <f t="shared" si="10"/>
        <v>0</v>
      </c>
      <c r="H124" s="58">
        <f t="shared" si="10"/>
        <v>2000</v>
      </c>
      <c r="I124" s="58"/>
      <c r="J124" s="58"/>
      <c r="K124" s="58"/>
      <c r="L124" s="58" t="e">
        <f t="shared" ref="L124:L126" ca="1" si="11">H124/OFFSET(A124,0,$K$100)</f>
        <v>#DIV/0!</v>
      </c>
    </row>
    <row r="125" spans="1:12" x14ac:dyDescent="0.45">
      <c r="A125" s="58" t="s">
        <v>53</v>
      </c>
      <c r="B125" s="58">
        <f>-$B$114*B123+B114</f>
        <v>0</v>
      </c>
      <c r="C125" s="76">
        <f t="shared" ref="C125:H125" si="12">-$B$114*C123+C114</f>
        <v>1</v>
      </c>
      <c r="D125" s="58">
        <f t="shared" si="12"/>
        <v>-1</v>
      </c>
      <c r="E125" s="58">
        <f t="shared" si="12"/>
        <v>0</v>
      </c>
      <c r="F125" s="58">
        <f t="shared" si="12"/>
        <v>1</v>
      </c>
      <c r="G125" s="58">
        <f t="shared" si="12"/>
        <v>0</v>
      </c>
      <c r="H125" s="58">
        <f t="shared" si="12"/>
        <v>8000</v>
      </c>
      <c r="I125" s="58"/>
      <c r="J125" s="58"/>
      <c r="K125" s="58"/>
      <c r="L125" s="58">
        <f t="shared" ca="1" si="11"/>
        <v>8000</v>
      </c>
    </row>
    <row r="126" spans="1:12" x14ac:dyDescent="0.45">
      <c r="A126" s="58" t="s">
        <v>58</v>
      </c>
      <c r="B126" s="58">
        <f>-$B$115*B123+B115</f>
        <v>0</v>
      </c>
      <c r="C126" s="58">
        <f t="shared" ref="C126:H126" si="13">-$B$115*C123+C115</f>
        <v>0</v>
      </c>
      <c r="D126" s="58">
        <f t="shared" si="13"/>
        <v>-2</v>
      </c>
      <c r="E126" s="58">
        <f t="shared" si="13"/>
        <v>0</v>
      </c>
      <c r="F126" s="58">
        <f t="shared" si="13"/>
        <v>1</v>
      </c>
      <c r="G126" s="58">
        <f t="shared" si="13"/>
        <v>1</v>
      </c>
      <c r="H126" s="58">
        <f t="shared" si="13"/>
        <v>4000</v>
      </c>
      <c r="I126" s="58"/>
      <c r="J126" s="58"/>
      <c r="K126" s="58"/>
      <c r="L126" s="58" t="e">
        <f t="shared" ca="1" si="11"/>
        <v>#DIV/0!</v>
      </c>
    </row>
    <row r="127" spans="1:12" x14ac:dyDescent="0.45">
      <c r="A127" s="113" t="s">
        <v>101</v>
      </c>
      <c r="B127" s="114"/>
      <c r="C127" s="114"/>
      <c r="D127" s="114"/>
      <c r="E127" s="114"/>
      <c r="F127" s="114"/>
      <c r="G127" s="114"/>
      <c r="H127" s="114"/>
      <c r="I127" s="114"/>
      <c r="J127" s="114"/>
      <c r="K127" s="114"/>
      <c r="L127" s="115"/>
    </row>
    <row r="128" spans="1:12" ht="15.75" thickBot="1" x14ac:dyDescent="0.5">
      <c r="A128" s="91" t="s">
        <v>107</v>
      </c>
      <c r="B128" s="92" t="s">
        <v>108</v>
      </c>
      <c r="C128" s="92" t="s">
        <v>113</v>
      </c>
      <c r="D128" s="92" t="s">
        <v>112</v>
      </c>
      <c r="E128" s="112" t="s">
        <v>111</v>
      </c>
      <c r="F128" s="112"/>
      <c r="G128" s="112"/>
      <c r="H128" s="112"/>
      <c r="I128" s="112"/>
      <c r="J128" s="11"/>
      <c r="K128" s="11"/>
      <c r="L128" s="11"/>
    </row>
    <row r="129" spans="1:12" ht="17.649999999999999" customHeight="1" x14ac:dyDescent="0.45">
      <c r="A129" s="88" t="s">
        <v>81</v>
      </c>
      <c r="B129" s="88" t="s">
        <v>109</v>
      </c>
      <c r="C129" s="88" cm="1">
        <f t="array" ref="C129:C132">TRANSPOSE(D121:G121)</f>
        <v>0</v>
      </c>
      <c r="D129" s="88" cm="1">
        <f t="array" ref="D129:D132">TRANSPOSE(D122:G122)</f>
        <v>80</v>
      </c>
      <c r="E129" s="94" t="s">
        <v>115</v>
      </c>
      <c r="F129" s="95"/>
      <c r="G129" s="95"/>
      <c r="H129" s="95"/>
      <c r="I129" s="95"/>
      <c r="J129" s="100" t="s">
        <v>102</v>
      </c>
      <c r="K129" s="101"/>
      <c r="L129" s="102"/>
    </row>
    <row r="130" spans="1:12" ht="17.649999999999999" x14ac:dyDescent="0.45">
      <c r="A130" s="89" t="s">
        <v>82</v>
      </c>
      <c r="B130" s="89" t="s">
        <v>110</v>
      </c>
      <c r="C130" s="89">
        <v>2000</v>
      </c>
      <c r="D130" s="89">
        <v>0</v>
      </c>
      <c r="E130" s="96" t="s">
        <v>117</v>
      </c>
      <c r="F130" s="97"/>
      <c r="G130" s="97"/>
      <c r="H130" s="97"/>
      <c r="I130" s="97"/>
      <c r="J130" s="103"/>
      <c r="K130" s="104"/>
      <c r="L130" s="105"/>
    </row>
    <row r="131" spans="1:12" ht="17.649999999999999" x14ac:dyDescent="0.45">
      <c r="A131" s="89" t="s">
        <v>83</v>
      </c>
      <c r="B131" s="89" t="s">
        <v>109</v>
      </c>
      <c r="C131" s="89">
        <v>0</v>
      </c>
      <c r="D131" s="89">
        <v>20</v>
      </c>
      <c r="E131" s="96" t="s">
        <v>114</v>
      </c>
      <c r="F131" s="97"/>
      <c r="G131" s="97"/>
      <c r="H131" s="97"/>
      <c r="I131" s="97"/>
      <c r="J131" s="103"/>
      <c r="K131" s="104"/>
      <c r="L131" s="105"/>
    </row>
    <row r="132" spans="1:12" ht="18" thickBot="1" x14ac:dyDescent="0.5">
      <c r="A132" s="90" t="s">
        <v>84</v>
      </c>
      <c r="B132" s="90" t="s">
        <v>110</v>
      </c>
      <c r="C132" s="90">
        <v>4000</v>
      </c>
      <c r="D132" s="90">
        <v>0</v>
      </c>
      <c r="E132" s="98" t="s">
        <v>116</v>
      </c>
      <c r="F132" s="99"/>
      <c r="G132" s="99"/>
      <c r="H132" s="99"/>
      <c r="I132" s="99"/>
      <c r="J132" s="106"/>
      <c r="K132" s="107"/>
      <c r="L132" s="108"/>
    </row>
    <row r="133" spans="1:12" ht="15.75" thickTop="1" x14ac:dyDescent="0.45"/>
  </sheetData>
  <mergeCells count="67">
    <mergeCell ref="A119:L119"/>
    <mergeCell ref="A108:L108"/>
    <mergeCell ref="A97:L97"/>
    <mergeCell ref="C93:G93"/>
    <mergeCell ref="C94:G94"/>
    <mergeCell ref="C90:G90"/>
    <mergeCell ref="C91:G91"/>
    <mergeCell ref="C92:G92"/>
    <mergeCell ref="A1:K1"/>
    <mergeCell ref="D13:F13"/>
    <mergeCell ref="D14:F14"/>
    <mergeCell ref="D15:F15"/>
    <mergeCell ref="C3:E3"/>
    <mergeCell ref="F62:F63"/>
    <mergeCell ref="F60:F61"/>
    <mergeCell ref="F58:F59"/>
    <mergeCell ref="J56:J57"/>
    <mergeCell ref="A2:A6"/>
    <mergeCell ref="A7:A9"/>
    <mergeCell ref="B56:C56"/>
    <mergeCell ref="B35:C35"/>
    <mergeCell ref="D35:D48"/>
    <mergeCell ref="B2:K2"/>
    <mergeCell ref="B7:K7"/>
    <mergeCell ref="B8:K8"/>
    <mergeCell ref="B9:K9"/>
    <mergeCell ref="A10:K10"/>
    <mergeCell ref="A18:K18"/>
    <mergeCell ref="A19:K19"/>
    <mergeCell ref="B11:K11"/>
    <mergeCell ref="B12:F12"/>
    <mergeCell ref="A73:K74"/>
    <mergeCell ref="A81:G81"/>
    <mergeCell ref="B82:G82"/>
    <mergeCell ref="B83:G83"/>
    <mergeCell ref="B30:G30"/>
    <mergeCell ref="B31:G31"/>
    <mergeCell ref="B32:G32"/>
    <mergeCell ref="A26:G26"/>
    <mergeCell ref="B72:K72"/>
    <mergeCell ref="A17:K17"/>
    <mergeCell ref="A55:K55"/>
    <mergeCell ref="A54:K54"/>
    <mergeCell ref="B27:G27"/>
    <mergeCell ref="B28:G28"/>
    <mergeCell ref="B29:G29"/>
    <mergeCell ref="G69:J70"/>
    <mergeCell ref="F65:J65"/>
    <mergeCell ref="E128:I128"/>
    <mergeCell ref="A127:L127"/>
    <mergeCell ref="A116:L116"/>
    <mergeCell ref="A117:L117"/>
    <mergeCell ref="A118:L118"/>
    <mergeCell ref="A105:L105"/>
    <mergeCell ref="A106:L106"/>
    <mergeCell ref="A107:L107"/>
    <mergeCell ref="A96:L96"/>
    <mergeCell ref="B85:G85"/>
    <mergeCell ref="B86:G86"/>
    <mergeCell ref="B87:G87"/>
    <mergeCell ref="B84:G84"/>
    <mergeCell ref="A89:G89"/>
    <mergeCell ref="E129:I129"/>
    <mergeCell ref="E130:I130"/>
    <mergeCell ref="E131:I131"/>
    <mergeCell ref="E132:I132"/>
    <mergeCell ref="J129:L132"/>
  </mergeCells>
  <phoneticPr fontId="16" type="noConversion"/>
  <conditionalFormatting sqref="G58:J63">
    <cfRule type="expression" dxfId="0" priority="2">
      <formula>($J58=MAX($J$58:$J$63))</formula>
    </cfRule>
  </conditionalFormatting>
  <printOptions headings="1"/>
  <pageMargins left="0.7" right="0.7" top="0.75" bottom="0.75" header="0.3" footer="0.3"/>
  <pageSetup scale="81" fitToHeight="0" orientation="landscape" r:id="rId1"/>
  <headerFooter>
    <oddHeader>&amp;L9/11/2020&amp;CCEE 5410/6410
HW 2 - Graphical and Simplex Solutions&amp;RJoshua Ward
A02081581</oddHeader>
    <oddFooter>&amp;L
&amp;C&amp;A
&amp;F&amp;R&amp;P / &amp;N</oddFooter>
  </headerFooter>
  <rowBreaks count="2" manualBreakCount="2">
    <brk id="33" max="16383" man="1"/>
    <brk id="107"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CoverPage</vt:lpstr>
      <vt:lpstr>Problem 2.3</vt:lpstr>
      <vt:lpstr>AssignName</vt:lpstr>
      <vt:lpstr>CourseName</vt:lpstr>
      <vt:lpstr>DueDate</vt:lpstr>
      <vt:lpstr>'Problem 2.3'!Print_Area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Ward</dc:creator>
  <cp:lastModifiedBy>Joshua Ward</cp:lastModifiedBy>
  <cp:lastPrinted>2020-09-14T02:29:15Z</cp:lastPrinted>
  <dcterms:created xsi:type="dcterms:W3CDTF">2020-02-21T17:03:57Z</dcterms:created>
  <dcterms:modified xsi:type="dcterms:W3CDTF">2020-09-14T02:39:31Z</dcterms:modified>
</cp:coreProperties>
</file>