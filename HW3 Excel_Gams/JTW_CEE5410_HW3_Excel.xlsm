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12" codeName="{316AF4FF-6532-DD95-964C-923D217D005E}"/>
  <workbookPr codeName="ThisWorkbook" defaultThemeVersion="166925"/>
  <mc:AlternateContent xmlns:mc="http://schemas.openxmlformats.org/markup-compatibility/2006">
    <mc:Choice Requires="x15">
      <x15ac:absPath xmlns:x15ac="http://schemas.microsoft.com/office/spreadsheetml/2010/11/ac" url="https://aggiemailusu-my.sharepoint.com/personal/joshua_timothy_ward_aggiemail_usu_edu/Documents/CourseWork/Fall 2020/CEE 5410 Water Systems Analysis/GitHub Respository/JTW_CEE5410_Repo/HW3 Excel_Gams/"/>
    </mc:Choice>
  </mc:AlternateContent>
  <xr:revisionPtr revIDLastSave="55" documentId="8_{B594C8C4-2AC6-4820-A263-979265404739}" xr6:coauthVersionLast="45" xr6:coauthVersionMax="45" xr10:uidLastSave="{74379893-4687-448A-A229-01610E40491B}"/>
  <bookViews>
    <workbookView xWindow="-98" yWindow="-98" windowWidth="22695" windowHeight="14595" activeTab="2" xr2:uid="{16FD4BA5-5F6E-42FF-8A0A-3E369973CCD7}"/>
  </bookViews>
  <sheets>
    <sheet name="CoverPage" sheetId="2" r:id="rId1"/>
    <sheet name="Problem 2.3" sheetId="3" r:id="rId2"/>
    <sheet name="2.3 Answer Report" sheetId="6" r:id="rId3"/>
    <sheet name="2.3 Sensitivity Report" sheetId="7" r:id="rId4"/>
  </sheets>
  <definedNames>
    <definedName name="AssignName">CoverPage!$A$1</definedName>
    <definedName name="CourseName">CoverPage!$A$5</definedName>
    <definedName name="DueDate">CoverPage!$A$6</definedName>
    <definedName name="_xlnm.Print_Area" localSheetId="1">'Problem 2.3'!$A:$L</definedName>
    <definedName name="solver_adj" localSheetId="1" hidden="1">'Problem 2.3'!$C$38:$C$39</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'Problem 2.3'!$D$43</definedName>
    <definedName name="solver_lhs2" localSheetId="1" hidden="1">'Problem 2.3'!$D$44</definedName>
    <definedName name="solver_lhs3" localSheetId="1" hidden="1">'Problem 2.3'!$D$45</definedName>
    <definedName name="solver_lhs4" localSheetId="1" hidden="1">'Problem 2.3'!$D$46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4</definedName>
    <definedName name="solver_nwt" localSheetId="1" hidden="1">1</definedName>
    <definedName name="solver_opt" localSheetId="1" hidden="1">'Problem 2.3'!$D$38</definedName>
    <definedName name="solver_pre" localSheetId="1" hidden="1">0.000001</definedName>
    <definedName name="solver_rbv" localSheetId="1" hidden="1">1</definedName>
    <definedName name="solver_rel1" localSheetId="1" hidden="1">1</definedName>
    <definedName name="solver_rel2" localSheetId="1" hidden="1">1</definedName>
    <definedName name="solver_rel3" localSheetId="1" hidden="1">1</definedName>
    <definedName name="solver_rel4" localSheetId="1" hidden="1">1</definedName>
    <definedName name="solver_rhs1" localSheetId="1" hidden="1">'Problem 2.3'!$E$43</definedName>
    <definedName name="solver_rhs2" localSheetId="1" hidden="1">'Problem 2.3'!$E$44</definedName>
    <definedName name="solver_rhs3" localSheetId="1" hidden="1">'Problem 2.3'!$E$45</definedName>
    <definedName name="solver_rhs4" localSheetId="1" hidden="1">'Problem 2.3'!$E$46</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4" i="3" l="1" a="1"/>
  <c r="D44" i="3" s="1"/>
  <c r="F44" i="3" s="1"/>
  <c r="D45" i="3" a="1"/>
  <c r="D45" i="3" s="1"/>
  <c r="F45" i="3" s="1"/>
  <c r="D46" i="3" a="1"/>
  <c r="D46" i="3" s="1"/>
  <c r="F46" i="3" s="1"/>
  <c r="D43" i="3" a="1"/>
  <c r="D43" i="3" s="1"/>
  <c r="F43" i="3" s="1"/>
  <c r="D38"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<sst xmlns="http://schemas.openxmlformats.org/spreadsheetml/2006/main" count="170" uniqueCount="124">
  <si>
    <t>Given</t>
  </si>
  <si>
    <t>Find</t>
  </si>
  <si>
    <t>Joshua Ward</t>
  </si>
  <si>
    <t>A02081581</t>
  </si>
  <si>
    <t>Format Key</t>
  </si>
  <si>
    <t>Notes/Comments</t>
  </si>
  <si>
    <t>Inputs/Givens</t>
  </si>
  <si>
    <t>Calculations</t>
  </si>
  <si>
    <t>Check Values</t>
  </si>
  <si>
    <t>Output/Answers</t>
  </si>
  <si>
    <t>CEE 5410/6410</t>
  </si>
  <si>
    <t>An aqueduct constructed to supply water to industrial users has an excess capacity in the months of June, July, and August of 14,000 ac-ft, 18,000 ac-ft, and 6,000 ac-ft, respectively. It is proposed to develop not more than 10,000 acres of new land by utilizing the excess aqueduct capacity for irrigation water deliveries. Two crops, hay and grain, are to be grown. Their monthly water requirements and expected net returns are given in the following table.</t>
  </si>
  <si>
    <t>Hay</t>
  </si>
  <si>
    <t>Grain</t>
  </si>
  <si>
    <t>June</t>
  </si>
  <si>
    <t>July</t>
  </si>
  <si>
    <t>August</t>
  </si>
  <si>
    <t>Return, $/acre</t>
  </si>
  <si>
    <t>Monthly Water Requirement (ac-ft/acre)</t>
  </si>
  <si>
    <t>Problem 2.3</t>
  </si>
  <si>
    <t>A)</t>
  </si>
  <si>
    <t>Formulate the problem</t>
  </si>
  <si>
    <t>Units</t>
  </si>
  <si>
    <t>Decision variables</t>
  </si>
  <si>
    <r>
      <t>A</t>
    </r>
    <r>
      <rPr>
        <vertAlign val="subscript"/>
        <sz val="12"/>
        <color theme="1"/>
        <rFont val="Times New Roman"/>
        <family val="1"/>
      </rPr>
      <t>h</t>
    </r>
  </si>
  <si>
    <r>
      <t>A</t>
    </r>
    <r>
      <rPr>
        <vertAlign val="subscript"/>
        <sz val="12"/>
        <color theme="1"/>
        <rFont val="Times New Roman"/>
        <family val="1"/>
      </rPr>
      <t>g</t>
    </r>
  </si>
  <si>
    <t>Symbol</t>
  </si>
  <si>
    <t>Description</t>
  </si>
  <si>
    <t>acre</t>
  </si>
  <si>
    <t>Area of land allocated to grain crops</t>
  </si>
  <si>
    <t>Area of land allocated to hay crops</t>
  </si>
  <si>
    <t>Objective Function</t>
  </si>
  <si>
    <t>Maximize the return ($) produced by cultivating hay and grain on not more than 10,000 acres of land using only excess water</t>
  </si>
  <si>
    <t>Or, for simplex methods, minimize the negative return as shown.</t>
  </si>
  <si>
    <t>Constraint Equations</t>
  </si>
  <si>
    <t>Area of hay cannot be less than 0 acres</t>
  </si>
  <si>
    <t>Area of grain cnanot be less than 0 acres</t>
  </si>
  <si>
    <t>Total water us by crops in June cannot exceed 14,000 acre-ft</t>
  </si>
  <si>
    <t>Total water us by crops in July cannot exceed 18,000 acre-ft</t>
  </si>
  <si>
    <t>Total water use by crops in August cannot exceed 6,000 acre-ft</t>
  </si>
  <si>
    <t>Combined area of hay and grain cannot exceed 10,000 acres</t>
  </si>
  <si>
    <t>Constraint</t>
  </si>
  <si>
    <t>Value</t>
  </si>
  <si>
    <t>acres</t>
  </si>
  <si>
    <t>Status</t>
  </si>
  <si>
    <t>Binding</t>
  </si>
  <si>
    <t>A) Formulate a linear program to optimize the irrigation development. Clearly define all the variables used and give their units.</t>
  </si>
  <si>
    <t>B) Solve with the Excel Solver</t>
  </si>
  <si>
    <t>C) Solve using GAMS formulation</t>
  </si>
  <si>
    <t>Decisions</t>
  </si>
  <si>
    <t>Coefficient</t>
  </si>
  <si>
    <t>Profit</t>
  </si>
  <si>
    <t>Slack</t>
  </si>
  <si>
    <t>Upper limit</t>
  </si>
  <si>
    <r>
      <t>A</t>
    </r>
    <r>
      <rPr>
        <vertAlign val="subscript"/>
        <sz val="12"/>
        <color theme="1"/>
        <rFont val="Times New Roman"/>
        <family val="1"/>
      </rPr>
      <t>h</t>
    </r>
    <r>
      <rPr>
        <sz val="12"/>
        <color theme="1"/>
        <rFont val="Times New Roman"/>
        <family val="1"/>
      </rPr>
      <t xml:space="preserve"> (acre)</t>
    </r>
  </si>
  <si>
    <r>
      <t>A</t>
    </r>
    <r>
      <rPr>
        <vertAlign val="subscript"/>
        <sz val="12"/>
        <color theme="1"/>
        <rFont val="Times New Roman"/>
        <family val="1"/>
      </rPr>
      <t>g</t>
    </r>
    <r>
      <rPr>
        <sz val="12"/>
        <color theme="1"/>
        <rFont val="Times New Roman"/>
        <family val="1"/>
      </rPr>
      <t xml:space="preserve"> (acre)</t>
    </r>
  </si>
  <si>
    <t>June Water (4)</t>
  </si>
  <si>
    <t>Land Area (3)</t>
  </si>
  <si>
    <t>July Water (5)</t>
  </si>
  <si>
    <t>August Water (6)</t>
  </si>
  <si>
    <t>Amount Used</t>
  </si>
  <si>
    <t>ac-ft</t>
  </si>
  <si>
    <t>HW 3 - Excel and GAMS Solutions</t>
  </si>
  <si>
    <t>Microsoft Excel 16.0 Answer Report</t>
  </si>
  <si>
    <t>Worksheet: [JTW_CEE5410_HW3_Excel.xlsm]Problem 2.3</t>
  </si>
  <si>
    <t>Result: Solver found a solution.  All Constraints and optimality conditions are satisfied.</t>
  </si>
  <si>
    <t>Solver Engine</t>
  </si>
  <si>
    <t>Engine: Simplex LP</t>
  </si>
  <si>
    <t>Iterations: 2 Subproblems: 0</t>
  </si>
  <si>
    <t>Solver Options</t>
  </si>
  <si>
    <t>Max Time Unlimited,  Iterations Unlimited, Precision 0.000001, Use Automatic Scaling</t>
  </si>
  <si>
    <t>Max Subproblems Unlimited, Max Integer Sols Unlimited, Integer Tolerance 1%, Assume NonNegative</t>
  </si>
  <si>
    <t>Objective Cell (Max)</t>
  </si>
  <si>
    <t>Cell</t>
  </si>
  <si>
    <t>Name</t>
  </si>
  <si>
    <t>Original Value</t>
  </si>
  <si>
    <t>Final Value</t>
  </si>
  <si>
    <t>Variable Cells</t>
  </si>
  <si>
    <t>Integer</t>
  </si>
  <si>
    <t>Constraints</t>
  </si>
  <si>
    <t>Cell Value</t>
  </si>
  <si>
    <t>Formula</t>
  </si>
  <si>
    <t>$D$37</t>
  </si>
  <si>
    <t>Ah (acre) Profit</t>
  </si>
  <si>
    <t>$C$37</t>
  </si>
  <si>
    <t>Ah (acre) Value</t>
  </si>
  <si>
    <t>Contin</t>
  </si>
  <si>
    <t>$C$38</t>
  </si>
  <si>
    <t>Ag (acre) Value</t>
  </si>
  <si>
    <t>$D$41</t>
  </si>
  <si>
    <t>Land Area (3) Amount Used</t>
  </si>
  <si>
    <t>$D$41&lt;=$E$41</t>
  </si>
  <si>
    <t>$D$42</t>
  </si>
  <si>
    <t>June Water (4) Amount Used</t>
  </si>
  <si>
    <t>$D$42&lt;=$E$42</t>
  </si>
  <si>
    <t>Not Binding</t>
  </si>
  <si>
    <t>$D$43</t>
  </si>
  <si>
    <t>July Water (5) Amount Used</t>
  </si>
  <si>
    <t>$D$43&lt;=$E$43</t>
  </si>
  <si>
    <t>$D$44</t>
  </si>
  <si>
    <t>August Water (6) Amount Used</t>
  </si>
  <si>
    <t>$D$44&lt;=$E$44</t>
  </si>
  <si>
    <t>Microsoft Excel 16.0 Sensitivity Report</t>
  </si>
  <si>
    <t>Final</t>
  </si>
  <si>
    <t>Reduced</t>
  </si>
  <si>
    <t>Cost</t>
  </si>
  <si>
    <t>Objective</t>
  </si>
  <si>
    <t>Allowable</t>
  </si>
  <si>
    <t>Increase</t>
  </si>
  <si>
    <t>Decrease</t>
  </si>
  <si>
    <t>Shadow</t>
  </si>
  <si>
    <t>Price</t>
  </si>
  <si>
    <t>R.H. Side</t>
  </si>
  <si>
    <r>
      <t>Coeff. A</t>
    </r>
    <r>
      <rPr>
        <b/>
        <vertAlign val="subscript"/>
        <sz val="12"/>
        <color theme="1"/>
        <rFont val="Times New Roman"/>
        <family val="1"/>
      </rPr>
      <t>h</t>
    </r>
  </si>
  <si>
    <r>
      <t>Coeff. A</t>
    </r>
    <r>
      <rPr>
        <b/>
        <vertAlign val="subscript"/>
        <sz val="12"/>
        <color theme="1"/>
        <rFont val="Times New Roman"/>
        <family val="1"/>
      </rPr>
      <t>g</t>
    </r>
  </si>
  <si>
    <t>Report Created: 9/23/2020 10:50:50 AM</t>
  </si>
  <si>
    <t>Solution Time: 0.109 Seconds.</t>
  </si>
  <si>
    <t>Calculation Input</t>
  </si>
  <si>
    <t>Calculation Output</t>
  </si>
  <si>
    <t>Binding Constraint</t>
  </si>
  <si>
    <t>Non-binding Constraint</t>
  </si>
  <si>
    <t>Calculated Value</t>
  </si>
  <si>
    <t>Check/Limiting Value</t>
  </si>
  <si>
    <t>Excel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</si>
</sst>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quot;$&quot;#,##0.00"/>
  </numFmts>
  <fonts count="21" x14ac:knownFonts="1">
    <font>
      <sz val="12"/>
      <color theme="1"/>
      <name val="Times New Roman"/>
      <family val="1"/>
    </font>
    <font>
      <b/>
      <sz val="12"/>
      <color rgb="FF3F3F3F"/>
      <name val="Times New Roman"/>
      <family val="1"/>
    </font>
    <font>
      <b/>
      <sz val="12"/>
      <color rgb="FFFA7D00"/>
      <name val="Times New Roman"/>
      <family val="1"/>
    </font>
    <font>
      <sz val="12"/>
      <color rgb="FF3F3F76"/>
      <name val="Times New Roman"/>
      <family val="1"/>
    </font>
    <font>
      <b/>
      <sz val="12"/>
      <color theme="0"/>
      <name val="Times New Roman"/>
      <family val="1"/>
    </font>
    <font>
      <b/>
      <sz val="15"/>
      <color theme="3"/>
      <name val="Times New Roman"/>
      <family val="1"/>
    </font>
    <font>
      <b/>
      <sz val="13"/>
      <color theme="3"/>
      <name val="Times New Roman"/>
      <family val="1"/>
    </font>
    <font>
      <b/>
      <sz val="11"/>
      <color theme="3"/>
      <name val="Times New Roman"/>
      <family val="1"/>
    </font>
    <font>
      <sz val="12"/>
      <color theme="1"/>
      <name val="Times New Roman"/>
      <family val="1"/>
    </font>
    <font>
      <sz val="20"/>
      <color theme="1"/>
      <name val="Times New Roman"/>
      <family val="1"/>
    </font>
    <font>
      <sz val="20"/>
      <color rgb="FF3F3F76"/>
      <name val="Times New Roman"/>
      <family val="1"/>
    </font>
    <font>
      <b/>
      <sz val="20"/>
      <color rgb="FFFA7D00"/>
      <name val="Times New Roman"/>
      <family val="1"/>
    </font>
    <font>
      <b/>
      <sz val="20"/>
      <color theme="0"/>
      <name val="Times New Roman"/>
      <family val="1"/>
    </font>
    <font>
      <b/>
      <sz val="20"/>
      <color rgb="FF3F3F3F"/>
      <name val="Times New Roman"/>
      <family val="1"/>
    </font>
    <font>
      <sz val="22"/>
      <color theme="1"/>
      <name val="Times New Roman"/>
      <family val="1"/>
    </font>
    <font>
      <vertAlign val="subscript"/>
      <sz val="12"/>
      <color theme="1"/>
      <name val="Times New Roman"/>
      <family val="1"/>
    </font>
    <font>
      <sz val="8"/>
      <name val="Times New Roman"/>
      <family val="1"/>
    </font>
    <font>
      <b/>
      <sz val="12"/>
      <color theme="1"/>
      <name val="Times New Roman"/>
      <family val="1"/>
    </font>
    <font>
      <b/>
      <vertAlign val="subscript"/>
      <sz val="12"/>
      <color theme="1"/>
      <name val="Times New Roman"/>
      <family val="1"/>
    </font>
    <font>
      <b/>
      <u/>
      <sz val="12"/>
      <color theme="1"/>
      <name val="Times New Roman"/>
      <family val="1"/>
    </font>
    <font>
      <b/>
      <sz val="12"/>
      <color indexed="18"/>
      <name val="Times New Roman"/>
      <family val="1"/>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2" tint="-9.9978637043366805E-2"/>
        <bgColor indexed="64"/>
      </patternFill>
    </fill>
  </fills>
  <borders count="5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rgb="FFB2B2B2"/>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double">
        <color rgb="FF3F3F3F"/>
      </top>
      <bottom style="double">
        <color rgb="FF3F3F3F"/>
      </bottom>
      <diagonal/>
    </border>
    <border>
      <left style="medium">
        <color indexed="64"/>
      </left>
      <right style="medium">
        <color indexed="64"/>
      </right>
      <top style="thin">
        <color rgb="FF3F3F3F"/>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ck">
        <color theme="8" tint="0.5999633777886288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bottom style="thin">
        <color rgb="FFB2B2B2"/>
      </bottom>
      <diagonal/>
    </border>
    <border>
      <left style="thin">
        <color rgb="FFB2B2B2"/>
      </left>
      <right style="thin">
        <color rgb="FFB2B2B2"/>
      </right>
      <top style="medium">
        <color theme="4" tint="0.39997558519241921"/>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B2B2B2"/>
      </left>
      <right style="thin">
        <color rgb="FFB2B2B2"/>
      </right>
      <top style="medium">
        <color theme="4" tint="0.39997558519241921"/>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rgb="FFB2B2B2"/>
      </right>
      <top/>
      <bottom style="thin">
        <color rgb="FFB2B2B2"/>
      </bottom>
      <diagonal/>
    </border>
    <border>
      <left style="thin">
        <color rgb="FFB2B2B2"/>
      </left>
      <right style="medium">
        <color indexed="64"/>
      </right>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top style="medium">
        <color indexed="23"/>
      </top>
      <bottom/>
      <diagonal/>
    </border>
    <border>
      <left/>
      <right/>
      <top/>
      <bottom style="medium">
        <color indexed="23"/>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style="thin">
        <color rgb="FF3F3F3F"/>
      </top>
      <bottom style="thin">
        <color rgb="FF3F3F3F"/>
      </bottom>
      <diagonal/>
    </border>
    <border>
      <left style="medium">
        <color indexed="64"/>
      </left>
      <right style="thin">
        <color rgb="FFB2B2B2"/>
      </right>
      <top style="medium">
        <color indexed="64"/>
      </top>
      <bottom style="medium">
        <color indexed="64"/>
      </bottom>
      <diagonal/>
    </border>
    <border>
      <left style="thin">
        <color rgb="FFB2B2B2"/>
      </left>
      <right style="medium">
        <color indexed="64"/>
      </right>
      <top style="medium">
        <color indexed="64"/>
      </top>
      <bottom style="medium">
        <color indexed="64"/>
      </bottom>
      <diagonal/>
    </border>
  </borders>
  <cellStyleXfs count="9">
    <xf numFmtId="0" fontId="0" fillId="0" borderId="0"/>
    <xf numFmtId="0" fontId="3" fillId="2" borderId="1" applyNumberFormat="0" applyBorder="0" applyAlignment="0" applyProtection="0"/>
    <xf numFmtId="0" fontId="1" fillId="3" borderId="2" applyNumberFormat="0" applyAlignment="0" applyProtection="0"/>
    <xf numFmtId="0" fontId="2" fillId="3" borderId="1" applyNumberFormat="0" applyBorder="0" applyAlignment="0" applyProtection="0"/>
    <xf numFmtId="164" fontId="4" fillId="4" borderId="3" applyBorder="0" applyAlignment="0" applyProtection="0"/>
    <xf numFmtId="0" fontId="5" fillId="0" borderId="4" applyNumberFormat="0" applyFill="0" applyAlignment="0" applyProtection="0"/>
    <xf numFmtId="0" fontId="6" fillId="0" borderId="5" applyNumberFormat="0" applyFill="0" applyAlignment="0" applyProtection="0"/>
    <xf numFmtId="0" fontId="7" fillId="0" borderId="6" applyNumberFormat="0" applyFill="0" applyAlignment="0" applyProtection="0"/>
    <xf numFmtId="0" fontId="8" fillId="5" borderId="7" applyNumberFormat="0" applyFont="0" applyAlignment="0" applyProtection="0"/>
  </cellStyleXfs>
  <cellXfs count="121">
    <xf numFmtId="0" fontId="0" fillId="0" borderId="0" xfId="0"/>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9" fillId="5" borderId="12" xfId="8" applyFont="1" applyBorder="1" applyAlignment="1">
      <alignment horizontal="center" vertical="center"/>
    </xf>
    <xf numFmtId="0" fontId="10" fillId="2" borderId="13" xfId="1" applyFont="1" applyBorder="1" applyAlignment="1">
      <alignment horizontal="center" vertical="center"/>
    </xf>
    <xf numFmtId="0" fontId="11" fillId="3" borderId="13" xfId="3" applyFont="1" applyBorder="1" applyAlignment="1">
      <alignment horizontal="center" vertical="center"/>
    </xf>
    <xf numFmtId="164" fontId="12" fillId="4" borderId="14" xfId="4" applyFont="1" applyBorder="1" applyAlignment="1">
      <alignment horizontal="center" vertical="center"/>
    </xf>
    <xf numFmtId="0" fontId="13" fillId="3" borderId="15" xfId="2" applyFont="1" applyBorder="1" applyAlignment="1">
      <alignment horizontal="center" vertical="center"/>
    </xf>
    <xf numFmtId="14" fontId="9" fillId="0" borderId="11" xfId="0" applyNumberFormat="1" applyFont="1" applyBorder="1" applyAlignment="1">
      <alignment horizontal="center" vertical="center"/>
    </xf>
    <xf numFmtId="0" fontId="9" fillId="0" borderId="8" xfId="0" applyFont="1" applyBorder="1" applyAlignment="1">
      <alignment horizontal="center" vertical="center"/>
    </xf>
    <xf numFmtId="0" fontId="0" fillId="0" borderId="10" xfId="0" applyBorder="1"/>
    <xf numFmtId="0" fontId="0" fillId="0" borderId="0" xfId="0"/>
    <xf numFmtId="0" fontId="0" fillId="0" borderId="0" xfId="0" applyAlignment="1">
      <alignment wrapText="1"/>
    </xf>
    <xf numFmtId="0" fontId="0" fillId="0" borderId="0" xfId="0" applyAlignment="1">
      <alignment horizontal="left" vertical="center" wrapText="1"/>
    </xf>
    <xf numFmtId="0" fontId="0" fillId="6" borderId="16" xfId="0" applyFill="1" applyBorder="1" applyAlignment="1">
      <alignment horizontal="left" vertical="center" wrapText="1"/>
    </xf>
    <xf numFmtId="0" fontId="0" fillId="6" borderId="17"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center" vertical="center" wrapText="1"/>
    </xf>
    <xf numFmtId="0" fontId="0" fillId="6" borderId="26" xfId="0" applyFill="1" applyBorder="1" applyAlignment="1">
      <alignment horizontal="center" vertical="center" wrapText="1"/>
    </xf>
    <xf numFmtId="0" fontId="0" fillId="7" borderId="20" xfId="0" applyFill="1" applyBorder="1" applyAlignment="1">
      <alignment wrapText="1"/>
    </xf>
    <xf numFmtId="0" fontId="0" fillId="7" borderId="21" xfId="0" applyFill="1" applyBorder="1" applyAlignment="1">
      <alignment horizontal="center" wrapText="1"/>
    </xf>
    <xf numFmtId="0" fontId="0" fillId="7" borderId="22" xfId="0" applyFill="1" applyBorder="1" applyAlignment="1">
      <alignment horizontal="center" wrapText="1"/>
    </xf>
    <xf numFmtId="0" fontId="0" fillId="0" borderId="27"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0" fillId="0" borderId="18" xfId="0" applyBorder="1" applyAlignment="1">
      <alignment horizontal="center" vertical="center"/>
    </xf>
    <xf numFmtId="0" fontId="17" fillId="5" borderId="36" xfId="8" applyFont="1" applyBorder="1"/>
    <xf numFmtId="0" fontId="0" fillId="0" borderId="0"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10" borderId="41" xfId="0" applyFill="1" applyBorder="1" applyAlignment="1">
      <alignment horizontal="center" vertical="center"/>
    </xf>
    <xf numFmtId="0" fontId="0" fillId="10" borderId="23" xfId="0" applyFill="1" applyBorder="1" applyAlignment="1">
      <alignment horizontal="center" vertical="center"/>
    </xf>
    <xf numFmtId="0" fontId="17" fillId="5" borderId="43" xfId="8" applyFont="1" applyBorder="1" applyAlignment="1">
      <alignment horizontal="center" vertical="center"/>
    </xf>
    <xf numFmtId="0" fontId="17" fillId="5" borderId="45" xfId="8" applyFont="1" applyBorder="1" applyAlignment="1">
      <alignment horizontal="center" vertical="center"/>
    </xf>
    <xf numFmtId="0" fontId="17" fillId="5" borderId="47" xfId="8" applyFont="1" applyBorder="1" applyAlignment="1">
      <alignment horizontal="center" vertical="center"/>
    </xf>
    <xf numFmtId="0" fontId="0" fillId="0" borderId="0" xfId="0"/>
    <xf numFmtId="0" fontId="0" fillId="0" borderId="0" xfId="0" applyBorder="1"/>
    <xf numFmtId="0" fontId="14" fillId="0" borderId="8" xfId="0" applyFont="1" applyBorder="1" applyAlignment="1">
      <alignment horizontal="center" vertical="center" wrapText="1"/>
    </xf>
    <xf numFmtId="0" fontId="0" fillId="0" borderId="0" xfId="0"/>
    <xf numFmtId="0" fontId="0" fillId="5" borderId="7" xfId="8" applyFont="1"/>
    <xf numFmtId="0" fontId="19" fillId="5" borderId="31" xfId="8" applyFont="1" applyBorder="1" applyAlignment="1">
      <alignment horizontal="center"/>
    </xf>
    <xf numFmtId="0" fontId="19" fillId="5" borderId="32" xfId="8" applyFont="1" applyBorder="1" applyAlignment="1">
      <alignment horizontal="center"/>
    </xf>
    <xf numFmtId="0" fontId="19" fillId="5" borderId="33" xfId="8" applyFont="1" applyBorder="1" applyAlignment="1">
      <alignment horizontal="center"/>
    </xf>
    <xf numFmtId="0" fontId="0" fillId="5" borderId="7" xfId="8" applyFont="1" applyBorder="1"/>
    <xf numFmtId="0" fontId="0" fillId="5" borderId="46" xfId="8" applyFont="1" applyBorder="1"/>
    <xf numFmtId="0" fontId="0" fillId="5" borderId="48" xfId="8" applyFont="1" applyBorder="1"/>
    <xf numFmtId="0" fontId="0" fillId="5" borderId="49" xfId="8" applyFont="1" applyBorder="1"/>
    <xf numFmtId="0" fontId="0" fillId="0" borderId="0" xfId="0" applyAlignment="1">
      <alignment horizontal="left" vertical="center" wrapText="1"/>
    </xf>
    <xf numFmtId="0" fontId="0" fillId="0" borderId="0" xfId="0"/>
    <xf numFmtId="0" fontId="0" fillId="0" borderId="30" xfId="0" applyBorder="1"/>
    <xf numFmtId="0" fontId="7" fillId="0" borderId="6" xfId="7" applyAlignment="1"/>
    <xf numFmtId="0" fontId="0" fillId="5" borderId="35" xfId="8" applyFont="1" applyBorder="1"/>
    <xf numFmtId="0" fontId="0" fillId="5" borderId="7" xfId="8" applyFont="1"/>
    <xf numFmtId="0" fontId="17" fillId="5" borderId="40" xfId="8" applyFont="1" applyBorder="1"/>
    <xf numFmtId="0" fontId="17" fillId="5" borderId="36" xfId="8" applyFont="1" applyBorder="1"/>
    <xf numFmtId="0" fontId="17" fillId="10" borderId="31" xfId="0" applyFont="1" applyFill="1" applyBorder="1" applyAlignment="1">
      <alignment horizontal="center"/>
    </xf>
    <xf numFmtId="0" fontId="17" fillId="10" borderId="32" xfId="0" applyFont="1" applyFill="1" applyBorder="1" applyAlignment="1">
      <alignment horizontal="center"/>
    </xf>
    <xf numFmtId="0" fontId="17" fillId="10" borderId="33" xfId="0" applyFont="1" applyFill="1" applyBorder="1" applyAlignment="1">
      <alignment horizontal="center"/>
    </xf>
    <xf numFmtId="0" fontId="17" fillId="5" borderId="34" xfId="8" applyFont="1" applyBorder="1"/>
    <xf numFmtId="0" fontId="0" fillId="5" borderId="44" xfId="8" applyFont="1" applyBorder="1"/>
    <xf numFmtId="0" fontId="5" fillId="0" borderId="4" xfId="5"/>
    <xf numFmtId="0" fontId="0" fillId="10" borderId="23" xfId="0" applyFill="1" applyBorder="1" applyAlignment="1">
      <alignment horizontal="center" vertical="center"/>
    </xf>
    <xf numFmtId="0" fontId="0" fillId="10" borderId="42" xfId="0" applyFill="1" applyBorder="1" applyAlignment="1">
      <alignment horizontal="center" vertical="center"/>
    </xf>
    <xf numFmtId="0" fontId="0" fillId="0" borderId="0" xfId="0" applyBorder="1" applyAlignment="1">
      <alignment horizontal="left" vertical="center"/>
    </xf>
    <xf numFmtId="0" fontId="0" fillId="0" borderId="19"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6" borderId="23" xfId="0" applyFill="1" applyBorder="1" applyAlignment="1">
      <alignment horizontal="center" vertical="center"/>
    </xf>
    <xf numFmtId="0" fontId="6" fillId="0" borderId="5" xfId="6" applyAlignment="1">
      <alignment horizontal="center" vertical="center"/>
    </xf>
    <xf numFmtId="0" fontId="0" fillId="0" borderId="0" xfId="0" applyFill="1"/>
    <xf numFmtId="0" fontId="0" fillId="0" borderId="0" xfId="0" applyFill="1" applyAlignment="1"/>
    <xf numFmtId="0" fontId="0" fillId="0" borderId="0" xfId="0" quotePrefix="1"/>
    <xf numFmtId="0" fontId="17" fillId="0" borderId="0" xfId="0" applyFont="1"/>
    <xf numFmtId="0" fontId="0" fillId="0" borderId="53" xfId="0" applyFill="1" applyBorder="1" applyAlignment="1"/>
    <xf numFmtId="0" fontId="20" fillId="0" borderId="52" xfId="0" applyFont="1" applyFill="1" applyBorder="1" applyAlignment="1">
      <alignment horizontal="center"/>
    </xf>
    <xf numFmtId="0" fontId="0" fillId="0" borderId="0" xfId="0" applyFill="1" applyBorder="1" applyAlignment="1"/>
    <xf numFmtId="0" fontId="0" fillId="0" borderId="54" xfId="0" applyFill="1" applyBorder="1" applyAlignment="1"/>
    <xf numFmtId="165" fontId="0" fillId="0" borderId="53" xfId="0" applyNumberFormat="1" applyFill="1" applyBorder="1" applyAlignment="1"/>
    <xf numFmtId="0" fontId="0" fillId="0" borderId="54" xfId="0" applyNumberFormat="1" applyFill="1" applyBorder="1" applyAlignment="1"/>
    <xf numFmtId="0" fontId="0" fillId="0" borderId="53" xfId="0" applyNumberFormat="1" applyFill="1" applyBorder="1" applyAlignment="1"/>
    <xf numFmtId="0" fontId="20" fillId="0" borderId="50" xfId="0" applyFont="1" applyFill="1" applyBorder="1" applyAlignment="1">
      <alignment horizontal="center"/>
    </xf>
    <xf numFmtId="0" fontId="20" fillId="0" borderId="51" xfId="0" applyFont="1" applyFill="1" applyBorder="1" applyAlignment="1">
      <alignment horizontal="center"/>
    </xf>
    <xf numFmtId="0" fontId="17" fillId="6" borderId="41" xfId="0" applyFont="1" applyFill="1" applyBorder="1"/>
    <xf numFmtId="0" fontId="17" fillId="6" borderId="23" xfId="0" applyFont="1" applyFill="1" applyBorder="1"/>
    <xf numFmtId="0" fontId="17" fillId="6" borderId="42" xfId="0" applyFont="1" applyFill="1" applyBorder="1" applyAlignment="1"/>
    <xf numFmtId="0" fontId="0" fillId="0" borderId="18" xfId="0" applyBorder="1"/>
    <xf numFmtId="165" fontId="0" fillId="0" borderId="0" xfId="0" applyNumberFormat="1" applyFill="1" applyBorder="1"/>
    <xf numFmtId="0" fontId="0" fillId="0" borderId="20" xfId="0" applyBorder="1"/>
    <xf numFmtId="165" fontId="0" fillId="0" borderId="21" xfId="0" applyNumberFormat="1" applyFill="1" applyBorder="1"/>
    <xf numFmtId="0" fontId="0" fillId="0" borderId="22" xfId="0" applyFill="1" applyBorder="1" applyAlignment="1"/>
    <xf numFmtId="0" fontId="0" fillId="0" borderId="18" xfId="0" applyFill="1" applyBorder="1"/>
    <xf numFmtId="0" fontId="0" fillId="0" borderId="20" xfId="0" applyFill="1" applyBorder="1"/>
    <xf numFmtId="0" fontId="17" fillId="6" borderId="41" xfId="0" applyFont="1" applyFill="1" applyBorder="1" applyAlignment="1">
      <alignment horizontal="center" vertical="center"/>
    </xf>
    <xf numFmtId="0" fontId="17" fillId="6" borderId="23" xfId="0" applyFont="1" applyFill="1" applyBorder="1" applyAlignment="1">
      <alignment horizontal="center" vertical="center"/>
    </xf>
    <xf numFmtId="0" fontId="17" fillId="6" borderId="42" xfId="0" applyFont="1" applyFill="1" applyBorder="1" applyAlignment="1">
      <alignment horizontal="center" vertical="center"/>
    </xf>
    <xf numFmtId="165" fontId="1" fillId="3" borderId="55" xfId="2" applyNumberFormat="1" applyBorder="1" applyAlignment="1"/>
    <xf numFmtId="0" fontId="3" fillId="2" borderId="0" xfId="1" applyBorder="1"/>
    <xf numFmtId="0" fontId="3" fillId="2" borderId="21" xfId="1" applyBorder="1"/>
    <xf numFmtId="0" fontId="0" fillId="5" borderId="37" xfId="8" applyFont="1" applyBorder="1" applyAlignment="1"/>
    <xf numFmtId="0" fontId="0" fillId="5" borderId="38" xfId="8" applyFont="1" applyBorder="1" applyAlignment="1"/>
    <xf numFmtId="0" fontId="0" fillId="5" borderId="39" xfId="8" applyFont="1" applyBorder="1" applyAlignment="1"/>
    <xf numFmtId="0" fontId="2" fillId="3" borderId="0" xfId="3" applyBorder="1" applyAlignment="1"/>
    <xf numFmtId="0" fontId="2" fillId="3" borderId="21" xfId="3" applyBorder="1" applyAlignment="1"/>
    <xf numFmtId="0" fontId="2" fillId="3" borderId="0" xfId="3" applyBorder="1"/>
    <xf numFmtId="0" fontId="2" fillId="3" borderId="21" xfId="3" applyBorder="1"/>
    <xf numFmtId="0" fontId="3" fillId="2" borderId="16" xfId="1" applyBorder="1"/>
    <xf numFmtId="0" fontId="3" fillId="2" borderId="17" xfId="1" applyBorder="1"/>
    <xf numFmtId="0" fontId="2" fillId="3" borderId="18" xfId="3" applyBorder="1"/>
    <xf numFmtId="0" fontId="2" fillId="3" borderId="19" xfId="3" applyBorder="1"/>
    <xf numFmtId="164" fontId="4" fillId="4" borderId="18" xfId="4" applyBorder="1"/>
    <xf numFmtId="164" fontId="4" fillId="4" borderId="19" xfId="4" applyBorder="1"/>
    <xf numFmtId="0" fontId="0" fillId="8" borderId="18" xfId="0" applyFill="1" applyBorder="1"/>
    <xf numFmtId="0" fontId="0" fillId="8" borderId="19" xfId="0" applyFill="1" applyBorder="1"/>
    <xf numFmtId="0" fontId="0" fillId="9" borderId="20" xfId="0" applyFill="1" applyBorder="1"/>
    <xf numFmtId="0" fontId="0" fillId="9" borderId="22" xfId="0" applyFill="1" applyBorder="1"/>
    <xf numFmtId="0" fontId="1" fillId="3" borderId="56" xfId="2" applyBorder="1"/>
    <xf numFmtId="0" fontId="1" fillId="3" borderId="55" xfId="2" applyBorder="1"/>
    <xf numFmtId="0" fontId="17" fillId="5" borderId="57" xfId="8" applyFont="1" applyBorder="1" applyAlignment="1">
      <alignment horizontal="center" vertical="center"/>
    </xf>
    <xf numFmtId="0" fontId="17" fillId="5" borderId="58" xfId="8" applyFont="1" applyBorder="1" applyAlignment="1">
      <alignment horizontal="center" vertical="center"/>
    </xf>
    <xf numFmtId="1" fontId="4" fillId="4" borderId="0" xfId="4" applyNumberFormat="1" applyFont="1" applyBorder="1"/>
    <xf numFmtId="1" fontId="4" fillId="4" borderId="21" xfId="4" applyNumberFormat="1" applyFont="1" applyBorder="1"/>
  </cellXfs>
  <cellStyles count="9">
    <cellStyle name="Calculation" xfId="3" builtinId="22" customBuiltin="1"/>
    <cellStyle name="Check Cell" xfId="4" builtinId="23" customBuiltin="1"/>
    <cellStyle name="Heading 1" xfId="5" builtinId="16" customBuiltin="1"/>
    <cellStyle name="Heading 2" xfId="6" builtinId="17" customBuiltin="1"/>
    <cellStyle name="Heading 3" xfId="7" builtinId="18" customBuiltin="1"/>
    <cellStyle name="Input" xfId="1" builtinId="20" customBuiltin="1"/>
    <cellStyle name="Normal" xfId="0" builtinId="0" customBuiltin="1"/>
    <cellStyle name="Note" xfId="8" builtinId="10"/>
    <cellStyle name="Output" xfId="2" builtinId="21" customBuiltin="1"/>
  </cellStyles>
  <dxfs count="5">
    <dxf>
      <fill>
        <patternFill>
          <bgColor theme="4" tint="0.79998168889431442"/>
        </patternFill>
      </fill>
    </dxf>
    <dxf>
      <fill>
        <patternFill>
          <bgColor theme="7" tint="0.79998168889431442"/>
        </patternFill>
      </fill>
    </dxf>
    <dxf>
      <fill>
        <patternFill>
          <bgColor theme="4" tint="0.79998168889431442"/>
        </patternFill>
      </fill>
    </dxf>
    <dxf>
      <fill>
        <patternFill>
          <bgColor theme="7" tint="0.79998168889431442"/>
        </patternFill>
      </fill>
    </dxf>
    <dxf>
      <font>
        <b/>
        <i val="0"/>
        <color rgb="FFFF0000"/>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1</xdr:col>
      <xdr:colOff>19049</xdr:colOff>
      <xdr:row>0</xdr:row>
      <xdr:rowOff>552449</xdr:rowOff>
    </xdr:from>
    <xdr:to>
      <xdr:col>4</xdr:col>
      <xdr:colOff>95248</xdr:colOff>
      <xdr:row>3</xdr:row>
      <xdr:rowOff>180975</xdr:rowOff>
    </xdr:to>
    <xdr:sp macro="[0]!copySheets" textlink="">
      <xdr:nvSpPr>
        <xdr:cNvPr id="2" name="Oval 1">
          <a:extLst>
            <a:ext uri="{FF2B5EF4-FFF2-40B4-BE49-F238E27FC236}">
              <a16:creationId xmlns:a16="http://schemas.microsoft.com/office/drawing/2014/main" id="{D988F545-87A9-4BFA-A5EA-EE7D6C036EB7}"/>
            </a:ext>
          </a:extLst>
        </xdr:cNvPr>
        <xdr:cNvSpPr/>
      </xdr:nvSpPr>
      <xdr:spPr>
        <a:xfrm>
          <a:off x="2633662" y="542925"/>
          <a:ext cx="2128837" cy="12382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Copy Problem</a:t>
          </a:r>
          <a:r>
            <a:rPr lang="en-US" sz="1600" b="1" baseline="0"/>
            <a:t> Template</a:t>
          </a:r>
          <a:endParaRPr lang="en-US" sz="1600" b="1"/>
        </a:p>
      </xdr:txBody>
    </xdr:sp>
    <xdr:clientData fPrintsWithSheet="0"/>
  </xdr:twoCellAnchor>
</xdr:wsDr>
</file>

<file path=xl/drawings/drawing2.xml><?xml version="1.0" encoding="utf-8"?>
<xdr:wsDr xmlns:xdr="http://schemas.openxmlformats.org/drawingml/2006/spreadsheetDrawing" xmlns:a="http://schemas.openxmlformats.org/drawingml/2006/main">
  <xdr:oneCellAnchor>
    <xdr:from>
      <xdr:col>1</xdr:col>
      <xdr:colOff>71438</xdr:colOff>
      <xdr:row>19</xdr:row>
      <xdr:rowOff>80961</xdr:rowOff>
    </xdr:from>
    <xdr:ext cx="2314575" cy="9620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𝑀𝑎𝑥</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a:p>
              <a:endParaRPr lang="en-US" sz="1100"/>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𝑀𝑖𝑛</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xdr:txBody>
        </xdr:sp>
      </mc:Choice>
      <mc:Fallback xmlns="">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i="0">
                  <a:latin typeface="Cambria Math" panose="02040503050406030204" pitchFamily="18" charset="0"/>
                </a:rPr>
                <a:t>𝑀𝑎𝑥 𝑍=$100/𝑎𝑐𝑟𝑒 (𝐴_ℎ )+$120/𝑎𝑐𝑟𝑒 (𝐴_𝑔 )</a:t>
              </a:r>
              <a:endParaRPr lang="en-US" sz="1100"/>
            </a:p>
            <a:p>
              <a:endParaRPr lang="en-US" sz="1100"/>
            </a:p>
            <a:p>
              <a:r>
                <a:rPr lang="en-US" sz="1100" b="0" i="0">
                  <a:latin typeface="Cambria Math" panose="02040503050406030204" pitchFamily="18" charset="0"/>
                </a:rPr>
                <a:t>𝑀𝑖𝑛 −𝑍=−$100/𝑎𝑐𝑟𝑒 (𝐴_ℎ )−$120/𝑎𝑐𝑟𝑒 (𝐴_𝑔 )</a:t>
              </a:r>
              <a:endParaRPr lang="en-US" sz="1100"/>
            </a:p>
          </xdr:txBody>
        </xdr:sp>
      </mc:Fallback>
    </mc:AlternateContent>
    <xdr:clientData/>
  </xdr:oneCellAnchor>
  <xdr:oneCellAnchor>
    <xdr:from>
      <xdr:col>7</xdr:col>
      <xdr:colOff>61912</xdr:colOff>
      <xdr:row>18</xdr:row>
      <xdr:rowOff>100011</xdr:rowOff>
    </xdr:from>
    <xdr:ext cx="3095625" cy="2767015"/>
    <mc:AlternateContent xmlns:mc="http://schemas.openxmlformats.org/markup-compatibility/2006">
      <mc:Choice xmlns:a14="http://schemas.microsoft.com/office/drawing/2010/main" Requires="a14">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Inequalities</a:t>
              </a:r>
              <a:endParaRPr lang="en-US" sz="1100" b="1" i="1">
                <a:latin typeface="Cambria Math" panose="02040503050406030204" pitchFamily="18" charset="0"/>
              </a:endParaRPr>
            </a:p>
            <a:p>
              <a:endParaRPr lang="en-US" sz="1100" b="0" i="1">
                <a:latin typeface="Cambria Math" panose="02040503050406030204" pitchFamily="18" charset="0"/>
              </a:endParaRPr>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Inequalities</a:t>
              </a:r>
              <a:endParaRPr lang="en-US" sz="1100" b="1" i="1">
                <a:latin typeface="Cambria Math" panose="02040503050406030204" pitchFamily="18" charset="0"/>
              </a:endParaRPr>
            </a:p>
            <a:p>
              <a:endParaRPr lang="en-US" sz="1100" b="0" i="1">
                <a:latin typeface="Cambria Math" panose="02040503050406030204" pitchFamily="18" charset="0"/>
              </a:endParaRPr>
            </a:p>
            <a:p>
              <a:pPr algn="l"/>
              <a:r>
                <a:rPr lang="en-US" sz="1100" b="0" i="0">
                  <a:latin typeface="Cambria Math" panose="02040503050406030204" pitchFamily="18" charset="0"/>
                </a:rPr>
                <a:t>1.    𝐴_ℎ≥0</a:t>
              </a:r>
              <a:endParaRPr lang="en-US" sz="1100" b="0"/>
            </a:p>
            <a:p>
              <a:pPr algn="l"/>
              <a:endParaRPr lang="en-US" sz="1100"/>
            </a:p>
            <a:p>
              <a:pPr algn="l"/>
              <a:r>
                <a:rPr lang="en-US" sz="1100" b="0" i="0">
                  <a:latin typeface="Cambria Math" panose="02040503050406030204" pitchFamily="18" charset="0"/>
                </a:rPr>
                <a:t>2.    𝐴_𝑔≥0</a:t>
              </a:r>
              <a:endParaRPr lang="en-US" sz="1100" b="0"/>
            </a:p>
            <a:p>
              <a:pPr algn="l"/>
              <a:endParaRPr lang="en-US" sz="1100"/>
            </a:p>
            <a:p>
              <a:pPr algn="l"/>
              <a:r>
                <a:rPr lang="en-US" sz="1100" b="0" i="0">
                  <a:latin typeface="Cambria Math" panose="02040503050406030204" pitchFamily="18" charset="0"/>
                </a:rPr>
                <a:t>3.    𝐴_ℎ+𝐴_𝑔≤10,000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𝑎𝑐𝑓𝑡/𝑎𝑐(𝐴_𝑔)≤14,000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𝑎𝑐𝑓𝑡/𝑎𝑐(𝐴_𝑔)≤18,000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)≤6,000 𝑎𝑐𝑓𝑡</a:t>
              </a:r>
              <a:endParaRPr lang="en-US" sz="1100"/>
            </a:p>
          </xdr:txBody>
        </xdr:sp>
      </mc:Fallback>
    </mc:AlternateContent>
    <xdr:clientData/>
  </xdr:oneCellAnchor>
  <xdr:oneCellAnchor>
    <xdr:from>
      <xdr:col>7</xdr:col>
      <xdr:colOff>80964</xdr:colOff>
      <xdr:row>32</xdr:row>
      <xdr:rowOff>152399</xdr:rowOff>
    </xdr:from>
    <xdr:ext cx="3095625" cy="2743201"/>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86439" y="7515224"/>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with Slack Variables</a:t>
              </a:r>
            </a:p>
            <a:p>
              <a:pPr algn="ctr"/>
              <a:endParaRPr lang="en-US" sz="1100" b="1" i="1" baseline="0">
                <a:latin typeface="Cambria Math" panose="02040503050406030204" pitchFamily="18" charset="0"/>
              </a:endParaRPr>
            </a:p>
            <a:p>
              <a:pPr algn="ct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3</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4</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5</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6</m:t>
                        </m:r>
                      </m:sub>
                    </m:sSub>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86439" y="7515224"/>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with Slack Variables</a:t>
              </a:r>
            </a:p>
            <a:p>
              <a:pPr algn="ctr"/>
              <a:endParaRPr lang="en-US" sz="1100" b="1" i="1" baseline="0">
                <a:latin typeface="Cambria Math" panose="02040503050406030204" pitchFamily="18" charset="0"/>
              </a:endParaRPr>
            </a:p>
            <a:p>
              <a:pPr algn="ctr"/>
              <a:r>
                <a:rPr lang="en-US" sz="1100" b="0" i="0">
                  <a:latin typeface="Cambria Math" panose="02040503050406030204" pitchFamily="18" charset="0"/>
                </a:rPr>
                <a:t>1.    𝐴_ℎ≥0:𝐼𝑚𝑝𝑙𝑖𝑒𝑑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2.    𝐴_𝑔≥0:𝐼𝑚𝑝𝑙𝑖𝑒𝑑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3.    𝐴_ℎ+𝐴_𝑔+𝑆_3=10,000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 (𝐴_𝑔 )+𝑆_4=14,000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 (𝐴_𝑔 )+𝑆_5=18,000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)+𝑆_6=6,000 𝑎𝑐𝑓𝑡</a:t>
              </a:r>
              <a:endParaRPr lang="en-US" sz="110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6E9C4-03EE-477D-80BF-1BE6190D96F6}">
  <sheetPr codeName="Sheet2"/>
  <dimension ref="A1:A13"/>
  <sheetViews>
    <sheetView workbookViewId="0">
      <selection activeCell="A7" sqref="A7"/>
    </sheetView>
  </sheetViews>
  <sheetFormatPr defaultRowHeight="15.4" x14ac:dyDescent="0.45"/>
  <cols>
    <col min="1" max="1" width="34.3125" customWidth="1"/>
  </cols>
  <sheetData>
    <row r="1" spans="1:1" ht="57.4" thickBot="1" x14ac:dyDescent="0.5">
      <c r="A1" s="37" t="s">
        <v>62</v>
      </c>
    </row>
    <row r="2" spans="1:1" ht="15.75" thickBot="1" x14ac:dyDescent="0.5">
      <c r="A2" s="10"/>
    </row>
    <row r="3" spans="1:1" ht="25.15" x14ac:dyDescent="0.45">
      <c r="A3" s="1" t="s">
        <v>2</v>
      </c>
    </row>
    <row r="4" spans="1:1" ht="25.15" x14ac:dyDescent="0.45">
      <c r="A4" s="2" t="s">
        <v>3</v>
      </c>
    </row>
    <row r="5" spans="1:1" ht="25.15" x14ac:dyDescent="0.45">
      <c r="A5" s="2" t="s">
        <v>10</v>
      </c>
    </row>
    <row r="6" spans="1:1" ht="25.5" thickBot="1" x14ac:dyDescent="0.5">
      <c r="A6" s="8">
        <v>44097</v>
      </c>
    </row>
    <row r="7" spans="1:1" ht="25.5" thickBot="1" x14ac:dyDescent="0.5">
      <c r="A7" s="2"/>
    </row>
    <row r="8" spans="1:1" ht="25.5" thickBot="1" x14ac:dyDescent="0.5">
      <c r="A8" s="9" t="s">
        <v>4</v>
      </c>
    </row>
    <row r="9" spans="1:1" ht="25.15" x14ac:dyDescent="0.45">
      <c r="A9" s="3" t="s">
        <v>5</v>
      </c>
    </row>
    <row r="10" spans="1:1" ht="25.15" x14ac:dyDescent="0.45">
      <c r="A10" s="4" t="s">
        <v>6</v>
      </c>
    </row>
    <row r="11" spans="1:1" ht="25.15" thickBot="1" x14ac:dyDescent="0.5">
      <c r="A11" s="5" t="s">
        <v>7</v>
      </c>
    </row>
    <row r="12" spans="1:1" ht="25.5" thickTop="1" thickBot="1" x14ac:dyDescent="0.5">
      <c r="A12" s="6" t="s">
        <v>8</v>
      </c>
    </row>
    <row r="13" spans="1:1" ht="25.5" thickTop="1" thickBot="1" x14ac:dyDescent="0.5">
      <c r="A13" s="7" t="s">
        <v>9</v>
      </c>
    </row>
  </sheetData>
  <printOptions horizontalCentered="1" verticalCentered="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24D46-222B-418B-9AB1-F734A835D7A7}">
  <sheetPr codeName="Sheet3">
    <pageSetUpPr fitToPage="1"/>
  </sheetPr>
  <dimension ref="A1:L134"/>
  <sheetViews>
    <sheetView topLeftCell="A22" zoomScaleNormal="100" workbookViewId="0">
      <selection activeCell="A26" sqref="A26:G32"/>
    </sheetView>
  </sheetViews>
  <sheetFormatPr defaultRowHeight="15.4" x14ac:dyDescent="0.45"/>
  <cols>
    <col min="1" max="1" width="14.375" bestFit="1" customWidth="1"/>
    <col min="2" max="2" width="10.75" customWidth="1"/>
    <col min="3" max="3" width="11.5625" customWidth="1"/>
    <col min="4" max="4" width="12.1875" bestFit="1" customWidth="1"/>
    <col min="5" max="5" width="10.4375" customWidth="1"/>
    <col min="6" max="6" width="10.5" customWidth="1"/>
    <col min="9" max="9" width="14.375" customWidth="1"/>
    <col min="10" max="10" width="14.8125" customWidth="1"/>
    <col min="12" max="12" width="10.5" customWidth="1"/>
  </cols>
  <sheetData>
    <row r="1" spans="1:11" ht="19.149999999999999" thickBot="1" x14ac:dyDescent="0.55000000000000004">
      <c r="A1" s="60" t="s">
        <v>19</v>
      </c>
      <c r="B1" s="60"/>
      <c r="C1" s="60"/>
      <c r="D1" s="60"/>
      <c r="E1" s="60"/>
      <c r="F1" s="60"/>
      <c r="G1" s="60"/>
      <c r="H1" s="60"/>
      <c r="I1" s="60"/>
      <c r="J1" s="60"/>
      <c r="K1" s="60"/>
    </row>
    <row r="2" spans="1:11" ht="70.5" customHeight="1" thickTop="1" thickBot="1" x14ac:dyDescent="0.5">
      <c r="A2" s="68" t="s">
        <v>0</v>
      </c>
      <c r="B2" s="47" t="s">
        <v>11</v>
      </c>
      <c r="C2" s="47"/>
      <c r="D2" s="47"/>
      <c r="E2" s="47"/>
      <c r="F2" s="47"/>
      <c r="G2" s="47"/>
      <c r="H2" s="47"/>
      <c r="I2" s="47"/>
      <c r="J2" s="47"/>
      <c r="K2" s="47"/>
    </row>
    <row r="3" spans="1:11" ht="16.149999999999999" thickTop="1" thickBot="1" x14ac:dyDescent="0.5">
      <c r="A3" s="68"/>
      <c r="B3" s="14"/>
      <c r="C3" s="67" t="s">
        <v>18</v>
      </c>
      <c r="D3" s="67"/>
      <c r="E3" s="67"/>
      <c r="F3" s="15"/>
      <c r="G3" s="13"/>
      <c r="H3" s="13"/>
      <c r="I3" s="13"/>
    </row>
    <row r="4" spans="1:11" ht="31.5" thickTop="1" thickBot="1" x14ac:dyDescent="0.5">
      <c r="A4" s="68"/>
      <c r="B4" s="16"/>
      <c r="C4" s="17" t="s">
        <v>14</v>
      </c>
      <c r="D4" s="17" t="s">
        <v>15</v>
      </c>
      <c r="E4" s="17" t="s">
        <v>16</v>
      </c>
      <c r="F4" s="18" t="s">
        <v>17</v>
      </c>
      <c r="G4" s="13"/>
      <c r="H4" s="13"/>
      <c r="I4" s="13"/>
    </row>
    <row r="5" spans="1:11" ht="16.149999999999999" thickTop="1" thickBot="1" x14ac:dyDescent="0.5">
      <c r="A5" s="68"/>
      <c r="B5" s="22" t="s">
        <v>12</v>
      </c>
      <c r="C5" s="23">
        <v>2</v>
      </c>
      <c r="D5" s="23">
        <v>1</v>
      </c>
      <c r="E5" s="23">
        <v>1</v>
      </c>
      <c r="F5" s="24">
        <v>100</v>
      </c>
      <c r="G5" s="13"/>
      <c r="H5" s="13"/>
      <c r="I5" s="13"/>
    </row>
    <row r="6" spans="1:11" ht="16.149999999999999" thickTop="1" thickBot="1" x14ac:dyDescent="0.5">
      <c r="A6" s="68"/>
      <c r="B6" s="19" t="s">
        <v>13</v>
      </c>
      <c r="C6" s="20">
        <v>1</v>
      </c>
      <c r="D6" s="20">
        <v>2</v>
      </c>
      <c r="E6" s="20">
        <v>0</v>
      </c>
      <c r="F6" s="21">
        <v>120</v>
      </c>
      <c r="G6" s="12"/>
      <c r="H6" s="12"/>
      <c r="I6" s="12"/>
    </row>
    <row r="7" spans="1:11" ht="16.899999999999999" customHeight="1" thickTop="1" thickBot="1" x14ac:dyDescent="0.5">
      <c r="A7" s="68" t="s">
        <v>1</v>
      </c>
      <c r="B7" s="48" t="s">
        <v>46</v>
      </c>
      <c r="C7" s="48"/>
      <c r="D7" s="48"/>
      <c r="E7" s="48"/>
      <c r="F7" s="48"/>
      <c r="G7" s="48"/>
      <c r="H7" s="48"/>
      <c r="I7" s="48"/>
      <c r="J7" s="48"/>
      <c r="K7" s="48"/>
    </row>
    <row r="8" spans="1:11" ht="16.149999999999999" thickTop="1" thickBot="1" x14ac:dyDescent="0.5">
      <c r="A8" s="68"/>
      <c r="B8" s="48" t="s">
        <v>47</v>
      </c>
      <c r="C8" s="48"/>
      <c r="D8" s="48"/>
      <c r="E8" s="48"/>
      <c r="F8" s="48"/>
      <c r="G8" s="48"/>
      <c r="H8" s="48"/>
      <c r="I8" s="48"/>
      <c r="J8" s="48"/>
      <c r="K8" s="48"/>
    </row>
    <row r="9" spans="1:11" ht="16.149999999999999" thickTop="1" thickBot="1" x14ac:dyDescent="0.5">
      <c r="A9" s="68"/>
      <c r="B9" s="49" t="s">
        <v>48</v>
      </c>
      <c r="C9" s="49"/>
      <c r="D9" s="49"/>
      <c r="E9" s="49"/>
      <c r="F9" s="49"/>
      <c r="G9" s="49"/>
      <c r="H9" s="49"/>
      <c r="I9" s="49"/>
      <c r="J9" s="49"/>
      <c r="K9" s="49"/>
    </row>
    <row r="10" spans="1:11" ht="16.149999999999999" thickTop="1" thickBot="1" x14ac:dyDescent="0.5">
      <c r="A10" s="50" t="s">
        <v>123</v>
      </c>
      <c r="B10" s="50"/>
      <c r="C10" s="50"/>
      <c r="D10" s="50"/>
      <c r="E10" s="50"/>
      <c r="F10" s="50"/>
      <c r="G10" s="50"/>
      <c r="H10" s="50"/>
      <c r="I10" s="50"/>
      <c r="J10" s="50"/>
      <c r="K10" s="50"/>
    </row>
    <row r="11" spans="1:11" ht="15.75" thickBot="1" x14ac:dyDescent="0.5">
      <c r="A11" s="26" t="s">
        <v>20</v>
      </c>
      <c r="B11" s="53" t="s">
        <v>21</v>
      </c>
      <c r="C11" s="53"/>
      <c r="D11" s="53"/>
      <c r="E11" s="53"/>
      <c r="F11" s="53"/>
      <c r="G11" s="54"/>
      <c r="H11" s="54"/>
      <c r="I11" s="54"/>
      <c r="J11" s="54"/>
      <c r="K11" s="54"/>
    </row>
    <row r="12" spans="1:11" ht="15.75" thickBot="1" x14ac:dyDescent="0.5">
      <c r="B12" s="55" t="s">
        <v>23</v>
      </c>
      <c r="C12" s="56"/>
      <c r="D12" s="56"/>
      <c r="E12" s="56"/>
      <c r="F12" s="57"/>
    </row>
    <row r="13" spans="1:11" x14ac:dyDescent="0.45">
      <c r="B13" s="30" t="s">
        <v>26</v>
      </c>
      <c r="C13" s="31" t="s">
        <v>22</v>
      </c>
      <c r="D13" s="61" t="s">
        <v>27</v>
      </c>
      <c r="E13" s="61"/>
      <c r="F13" s="62"/>
    </row>
    <row r="14" spans="1:11" ht="17.649999999999999" x14ac:dyDescent="0.45">
      <c r="B14" s="25" t="s">
        <v>24</v>
      </c>
      <c r="C14" s="27" t="s">
        <v>28</v>
      </c>
      <c r="D14" s="63" t="s">
        <v>30</v>
      </c>
      <c r="E14" s="63"/>
      <c r="F14" s="64"/>
    </row>
    <row r="15" spans="1:11" ht="18" thickBot="1" x14ac:dyDescent="0.5">
      <c r="B15" s="28" t="s">
        <v>25</v>
      </c>
      <c r="C15" s="29" t="s">
        <v>28</v>
      </c>
      <c r="D15" s="65" t="s">
        <v>29</v>
      </c>
      <c r="E15" s="65"/>
      <c r="F15" s="66"/>
    </row>
    <row r="17" spans="1:11" x14ac:dyDescent="0.45">
      <c r="A17" s="58" t="s">
        <v>31</v>
      </c>
      <c r="B17" s="58"/>
      <c r="C17" s="58"/>
      <c r="D17" s="58"/>
      <c r="E17" s="58"/>
      <c r="F17" s="58"/>
      <c r="G17" s="58"/>
      <c r="H17" s="58"/>
      <c r="I17" s="58"/>
      <c r="J17" s="58"/>
      <c r="K17" s="58"/>
    </row>
    <row r="18" spans="1:11" x14ac:dyDescent="0.45">
      <c r="A18" s="51" t="s">
        <v>32</v>
      </c>
      <c r="B18" s="51"/>
      <c r="C18" s="51"/>
      <c r="D18" s="51"/>
      <c r="E18" s="51"/>
      <c r="F18" s="51"/>
      <c r="G18" s="51"/>
      <c r="H18" s="51"/>
      <c r="I18" s="51"/>
      <c r="J18" s="51"/>
      <c r="K18" s="51"/>
    </row>
    <row r="19" spans="1:11" x14ac:dyDescent="0.45">
      <c r="A19" s="52" t="s">
        <v>33</v>
      </c>
      <c r="B19" s="52"/>
      <c r="C19" s="52"/>
      <c r="D19" s="52"/>
      <c r="E19" s="52"/>
      <c r="F19" s="52"/>
      <c r="G19" s="52"/>
      <c r="H19" s="52"/>
      <c r="I19" s="52"/>
      <c r="J19" s="52"/>
      <c r="K19" s="52"/>
    </row>
    <row r="25" spans="1:11" ht="15.75" thickBot="1" x14ac:dyDescent="0.5"/>
    <row r="26" spans="1:11" ht="15.75" thickBot="1" x14ac:dyDescent="0.5">
      <c r="A26" s="40" t="s">
        <v>34</v>
      </c>
      <c r="B26" s="41"/>
      <c r="C26" s="41"/>
      <c r="D26" s="41"/>
      <c r="E26" s="41"/>
      <c r="F26" s="41"/>
      <c r="G26" s="42"/>
    </row>
    <row r="27" spans="1:11" x14ac:dyDescent="0.45">
      <c r="A27" s="32">
        <v>1</v>
      </c>
      <c r="B27" s="51" t="s">
        <v>35</v>
      </c>
      <c r="C27" s="51"/>
      <c r="D27" s="51"/>
      <c r="E27" s="51"/>
      <c r="F27" s="51"/>
      <c r="G27" s="59"/>
    </row>
    <row r="28" spans="1:11" x14ac:dyDescent="0.45">
      <c r="A28" s="33">
        <v>2</v>
      </c>
      <c r="B28" s="43" t="s">
        <v>36</v>
      </c>
      <c r="C28" s="43"/>
      <c r="D28" s="43"/>
      <c r="E28" s="43"/>
      <c r="F28" s="43"/>
      <c r="G28" s="44"/>
    </row>
    <row r="29" spans="1:11" x14ac:dyDescent="0.45">
      <c r="A29" s="33">
        <v>3</v>
      </c>
      <c r="B29" s="43" t="s">
        <v>40</v>
      </c>
      <c r="C29" s="43"/>
      <c r="D29" s="43"/>
      <c r="E29" s="43"/>
      <c r="F29" s="43"/>
      <c r="G29" s="44"/>
    </row>
    <row r="30" spans="1:11" x14ac:dyDescent="0.45">
      <c r="A30" s="33">
        <v>4</v>
      </c>
      <c r="B30" s="43" t="s">
        <v>37</v>
      </c>
      <c r="C30" s="43"/>
      <c r="D30" s="43"/>
      <c r="E30" s="43"/>
      <c r="F30" s="43"/>
      <c r="G30" s="44"/>
    </row>
    <row r="31" spans="1:11" x14ac:dyDescent="0.45">
      <c r="A31" s="33">
        <v>5</v>
      </c>
      <c r="B31" s="43" t="s">
        <v>38</v>
      </c>
      <c r="C31" s="43"/>
      <c r="D31" s="43"/>
      <c r="E31" s="43"/>
      <c r="F31" s="43"/>
      <c r="G31" s="44"/>
    </row>
    <row r="32" spans="1:11" ht="15.75" thickBot="1" x14ac:dyDescent="0.5">
      <c r="A32" s="34">
        <v>6</v>
      </c>
      <c r="B32" s="45" t="s">
        <v>39</v>
      </c>
      <c r="C32" s="45"/>
      <c r="D32" s="45"/>
      <c r="E32" s="45"/>
      <c r="F32" s="45"/>
      <c r="G32" s="46"/>
    </row>
    <row r="33" spans="1:12" ht="15.75" thickBot="1" x14ac:dyDescent="0.5"/>
    <row r="34" spans="1:12" ht="15.75" thickBot="1" x14ac:dyDescent="0.5">
      <c r="A34" s="98" t="s">
        <v>47</v>
      </c>
      <c r="B34" s="99"/>
      <c r="C34" s="99"/>
      <c r="D34" s="100"/>
      <c r="E34" s="38"/>
      <c r="F34" s="117" t="s">
        <v>4</v>
      </c>
      <c r="G34" s="118"/>
    </row>
    <row r="35" spans="1:12" s="38" customFormat="1" x14ac:dyDescent="0.45">
      <c r="F35" s="105" t="s">
        <v>117</v>
      </c>
      <c r="G35" s="106"/>
    </row>
    <row r="36" spans="1:12" ht="15.75" thickBot="1" x14ac:dyDescent="0.5">
      <c r="A36" s="69"/>
      <c r="B36" s="70"/>
      <c r="C36" s="70"/>
      <c r="D36" s="70"/>
      <c r="E36" s="69"/>
      <c r="F36" s="107" t="s">
        <v>121</v>
      </c>
      <c r="G36" s="108"/>
      <c r="H36" s="69"/>
      <c r="I36" s="69"/>
      <c r="J36" s="69"/>
      <c r="K36" s="69"/>
    </row>
    <row r="37" spans="1:12" ht="18.399999999999999" customHeight="1" x14ac:dyDescent="0.45">
      <c r="A37" s="82" t="s">
        <v>49</v>
      </c>
      <c r="B37" s="83" t="s">
        <v>50</v>
      </c>
      <c r="C37" s="83" t="s">
        <v>42</v>
      </c>
      <c r="D37" s="84" t="s">
        <v>51</v>
      </c>
      <c r="E37" s="69"/>
      <c r="F37" s="109" t="s">
        <v>122</v>
      </c>
      <c r="G37" s="110"/>
      <c r="H37" s="69"/>
      <c r="I37" s="69"/>
      <c r="J37" s="69"/>
      <c r="K37" s="69"/>
    </row>
    <row r="38" spans="1:12" ht="17.649999999999999" x14ac:dyDescent="0.6">
      <c r="A38" s="85" t="s">
        <v>54</v>
      </c>
      <c r="B38" s="86">
        <v>100</v>
      </c>
      <c r="C38" s="96">
        <v>2000</v>
      </c>
      <c r="D38" s="95">
        <f>SUMPRODUCT($B$38:$B$39,$C$38:$C$39)</f>
        <v>1160000</v>
      </c>
      <c r="E38" s="69"/>
      <c r="F38" s="115" t="s">
        <v>118</v>
      </c>
      <c r="G38" s="116"/>
      <c r="H38" s="69"/>
      <c r="I38" s="69"/>
      <c r="J38" s="69"/>
      <c r="K38" s="69"/>
    </row>
    <row r="39" spans="1:12" ht="18" thickBot="1" x14ac:dyDescent="0.65">
      <c r="A39" s="87" t="s">
        <v>55</v>
      </c>
      <c r="B39" s="88">
        <v>120</v>
      </c>
      <c r="C39" s="97">
        <v>8000</v>
      </c>
      <c r="D39" s="89"/>
      <c r="E39" s="69"/>
      <c r="F39" s="111" t="s">
        <v>119</v>
      </c>
      <c r="G39" s="112"/>
      <c r="H39" s="69"/>
      <c r="I39" s="69"/>
      <c r="J39" s="69"/>
      <c r="K39" s="69"/>
    </row>
    <row r="40" spans="1:12" s="38" customFormat="1" ht="15.75" thickBot="1" x14ac:dyDescent="0.5">
      <c r="A40" s="36"/>
      <c r="B40" s="86"/>
      <c r="D40" s="75"/>
      <c r="E40" s="69"/>
      <c r="F40" s="113" t="s">
        <v>120</v>
      </c>
      <c r="G40" s="114"/>
      <c r="H40" s="69"/>
      <c r="I40" s="69"/>
      <c r="J40" s="69"/>
      <c r="K40" s="69"/>
    </row>
    <row r="41" spans="1:12" ht="15.75" thickBot="1" x14ac:dyDescent="0.5">
      <c r="A41" s="69"/>
      <c r="B41" s="69"/>
      <c r="C41" s="69"/>
      <c r="D41" s="70"/>
      <c r="E41" s="69"/>
      <c r="F41" s="69"/>
      <c r="G41" s="69"/>
      <c r="H41" s="69"/>
      <c r="I41" s="69"/>
      <c r="J41" s="69"/>
      <c r="K41" s="69"/>
    </row>
    <row r="42" spans="1:12" ht="18" x14ac:dyDescent="0.45">
      <c r="A42" s="92" t="s">
        <v>41</v>
      </c>
      <c r="B42" s="93" t="s">
        <v>113</v>
      </c>
      <c r="C42" s="93" t="s">
        <v>114</v>
      </c>
      <c r="D42" s="93" t="s">
        <v>60</v>
      </c>
      <c r="E42" s="93" t="s">
        <v>53</v>
      </c>
      <c r="F42" s="93" t="s">
        <v>52</v>
      </c>
      <c r="G42" s="94" t="s">
        <v>22</v>
      </c>
      <c r="H42" s="69"/>
      <c r="I42" s="69"/>
      <c r="J42" s="69"/>
      <c r="K42" s="69"/>
    </row>
    <row r="43" spans="1:12" x14ac:dyDescent="0.45">
      <c r="A43" s="90" t="s">
        <v>57</v>
      </c>
      <c r="B43" s="96">
        <v>1</v>
      </c>
      <c r="C43" s="96">
        <v>1</v>
      </c>
      <c r="D43" s="101" cm="1">
        <f t="array" ref="D43">SUMPRODUCT($B43:$C43,TRANSPOSE($C$38:$C$39))</f>
        <v>10000</v>
      </c>
      <c r="E43" s="119">
        <v>10000</v>
      </c>
      <c r="F43" s="103">
        <f>E43-D43</f>
        <v>0</v>
      </c>
      <c r="G43" s="39" t="s">
        <v>43</v>
      </c>
      <c r="H43" s="69"/>
      <c r="I43" s="69"/>
      <c r="J43" s="69"/>
      <c r="K43" s="69"/>
    </row>
    <row r="44" spans="1:12" x14ac:dyDescent="0.45">
      <c r="A44" s="90" t="s">
        <v>56</v>
      </c>
      <c r="B44" s="96">
        <v>2</v>
      </c>
      <c r="C44" s="96">
        <v>1</v>
      </c>
      <c r="D44" s="101" cm="1">
        <f t="array" ref="D44">SUMPRODUCT($B44:$C44,TRANSPOSE($C$38:$C$39))</f>
        <v>12000</v>
      </c>
      <c r="E44" s="119">
        <v>14000</v>
      </c>
      <c r="F44" s="103">
        <f t="shared" ref="F44:F46" si="0">E44-D44</f>
        <v>2000</v>
      </c>
      <c r="G44" s="39" t="s">
        <v>61</v>
      </c>
      <c r="H44" s="69"/>
      <c r="I44" s="69"/>
      <c r="J44" s="69"/>
      <c r="K44" s="69"/>
    </row>
    <row r="45" spans="1:12" x14ac:dyDescent="0.45">
      <c r="A45" s="90" t="s">
        <v>58</v>
      </c>
      <c r="B45" s="96">
        <v>1</v>
      </c>
      <c r="C45" s="96">
        <v>2</v>
      </c>
      <c r="D45" s="101" cm="1">
        <f t="array" ref="D45">SUMPRODUCT($B45:$C45,TRANSPOSE($C$38:$C$39))</f>
        <v>18000</v>
      </c>
      <c r="E45" s="119">
        <v>18000</v>
      </c>
      <c r="F45" s="103">
        <f t="shared" si="0"/>
        <v>0</v>
      </c>
      <c r="G45" s="39" t="s">
        <v>61</v>
      </c>
      <c r="H45" s="69"/>
      <c r="I45" s="69"/>
      <c r="J45" s="69"/>
      <c r="K45" s="69"/>
    </row>
    <row r="46" spans="1:12" ht="15.75" thickBot="1" x14ac:dyDescent="0.5">
      <c r="A46" s="91" t="s">
        <v>59</v>
      </c>
      <c r="B46" s="97">
        <v>1</v>
      </c>
      <c r="C46" s="97">
        <v>0</v>
      </c>
      <c r="D46" s="102" cm="1">
        <f t="array" ref="D46">SUMPRODUCT($B46:$C46,TRANSPOSE($C$38:$C$39))</f>
        <v>2000</v>
      </c>
      <c r="E46" s="120">
        <v>6000</v>
      </c>
      <c r="F46" s="104">
        <f t="shared" si="0"/>
        <v>4000</v>
      </c>
      <c r="G46" s="39" t="s">
        <v>61</v>
      </c>
      <c r="H46" s="69"/>
      <c r="I46" s="69"/>
      <c r="J46" s="69"/>
      <c r="K46" s="69"/>
    </row>
    <row r="47" spans="1:12" x14ac:dyDescent="0.45">
      <c r="A47" s="38"/>
      <c r="B47" s="38"/>
      <c r="C47" s="38"/>
      <c r="D47" s="38"/>
      <c r="E47" s="38"/>
      <c r="F47" s="38"/>
      <c r="G47" s="38"/>
      <c r="H47" s="38"/>
      <c r="I47" s="38"/>
      <c r="J47" s="38"/>
      <c r="K47" s="38"/>
      <c r="L47" s="38"/>
    </row>
    <row r="48" spans="1:12" x14ac:dyDescent="0.45">
      <c r="A48" s="38"/>
      <c r="B48" s="38"/>
      <c r="C48" s="38"/>
      <c r="D48" s="38"/>
      <c r="E48" s="38"/>
      <c r="F48" s="38"/>
      <c r="G48" s="38"/>
      <c r="H48" s="38"/>
      <c r="I48" s="38"/>
      <c r="J48" s="38"/>
      <c r="K48" s="38"/>
      <c r="L48" s="38"/>
    </row>
    <row r="49" spans="1:12" x14ac:dyDescent="0.45">
      <c r="A49" s="38"/>
      <c r="B49" s="38"/>
      <c r="C49" s="38"/>
      <c r="D49" s="38"/>
      <c r="E49" s="38"/>
      <c r="F49" s="38"/>
      <c r="G49" s="38"/>
      <c r="H49" s="38"/>
      <c r="I49" s="38"/>
      <c r="J49" s="38"/>
      <c r="K49" s="38"/>
      <c r="L49" s="38"/>
    </row>
    <row r="50" spans="1:12" x14ac:dyDescent="0.45">
      <c r="A50" s="38"/>
      <c r="B50" s="38"/>
      <c r="C50" s="38"/>
      <c r="D50" s="38"/>
      <c r="E50" s="38"/>
      <c r="F50" s="38"/>
      <c r="G50" s="38"/>
      <c r="H50" s="38"/>
      <c r="I50" s="38"/>
      <c r="J50" s="38"/>
      <c r="K50" s="38"/>
      <c r="L50" s="38"/>
    </row>
    <row r="51" spans="1:12" x14ac:dyDescent="0.45">
      <c r="A51" s="38"/>
      <c r="B51" s="38"/>
      <c r="C51" s="38"/>
      <c r="D51" s="38"/>
      <c r="E51" s="38"/>
      <c r="F51" s="38"/>
      <c r="G51" s="38"/>
      <c r="H51" s="38"/>
      <c r="I51" s="38"/>
      <c r="J51" s="38"/>
      <c r="K51" s="38"/>
      <c r="L51" s="38"/>
    </row>
    <row r="52" spans="1:12" s="35" customFormat="1" x14ac:dyDescent="0.45">
      <c r="A52" s="38"/>
      <c r="B52" s="38"/>
      <c r="C52" s="38"/>
      <c r="D52" s="38"/>
      <c r="E52" s="38"/>
      <c r="F52" s="38"/>
      <c r="G52" s="38"/>
      <c r="H52" s="38"/>
      <c r="I52" s="38"/>
      <c r="J52" s="38"/>
      <c r="K52" s="38"/>
      <c r="L52" s="38"/>
    </row>
    <row r="53" spans="1:12" s="35" customFormat="1" x14ac:dyDescent="0.45">
      <c r="A53" s="38"/>
      <c r="B53" s="38"/>
      <c r="C53" s="38"/>
      <c r="D53" s="38"/>
      <c r="E53" s="38"/>
      <c r="F53" s="38"/>
      <c r="G53" s="38"/>
      <c r="H53" s="38"/>
      <c r="I53" s="38"/>
      <c r="J53" s="38"/>
      <c r="K53" s="38"/>
      <c r="L53" s="38"/>
    </row>
    <row r="54" spans="1:12" x14ac:dyDescent="0.45">
      <c r="A54" s="38"/>
      <c r="B54" s="38"/>
      <c r="C54" s="38"/>
      <c r="D54" s="38"/>
      <c r="E54" s="38"/>
      <c r="F54" s="38"/>
      <c r="G54" s="38"/>
      <c r="H54" s="38"/>
      <c r="I54" s="38"/>
      <c r="J54" s="38"/>
      <c r="K54" s="38"/>
      <c r="L54" s="38"/>
    </row>
    <row r="55" spans="1:12" s="35" customFormat="1" x14ac:dyDescent="0.45">
      <c r="A55" s="38"/>
      <c r="B55" s="38"/>
      <c r="C55" s="38"/>
      <c r="D55" s="38"/>
      <c r="E55" s="38"/>
      <c r="F55" s="38"/>
      <c r="G55" s="38"/>
      <c r="H55" s="38"/>
      <c r="I55" s="38"/>
      <c r="J55" s="38"/>
      <c r="K55" s="38"/>
      <c r="L55" s="38"/>
    </row>
    <row r="56" spans="1:12" x14ac:dyDescent="0.45">
      <c r="A56" s="38"/>
      <c r="B56" s="38"/>
      <c r="C56" s="38"/>
      <c r="D56" s="38"/>
      <c r="E56" s="38"/>
      <c r="F56" s="38"/>
      <c r="G56" s="38"/>
      <c r="H56" s="38"/>
      <c r="I56" s="38"/>
      <c r="J56" s="38"/>
      <c r="K56" s="38"/>
      <c r="L56" s="38"/>
    </row>
    <row r="57" spans="1:12" x14ac:dyDescent="0.45">
      <c r="A57" s="38"/>
      <c r="B57" s="38"/>
      <c r="C57" s="38"/>
      <c r="D57" s="38"/>
      <c r="E57" s="38"/>
      <c r="F57" s="38"/>
      <c r="G57" s="38"/>
      <c r="H57" s="38"/>
      <c r="I57" s="38"/>
      <c r="J57" s="38"/>
      <c r="K57" s="38"/>
      <c r="L57" s="38"/>
    </row>
    <row r="58" spans="1:12" x14ac:dyDescent="0.45">
      <c r="A58" s="38"/>
      <c r="B58" s="38"/>
      <c r="C58" s="38"/>
      <c r="D58" s="38"/>
      <c r="E58" s="38"/>
      <c r="F58" s="38"/>
      <c r="G58" s="38"/>
      <c r="H58" s="38"/>
      <c r="I58" s="38"/>
      <c r="J58" s="38"/>
      <c r="K58" s="38"/>
      <c r="L58" s="38"/>
    </row>
    <row r="59" spans="1:12" x14ac:dyDescent="0.45">
      <c r="A59" s="38"/>
      <c r="B59" s="38"/>
      <c r="C59" s="38"/>
      <c r="D59" s="38"/>
      <c r="E59" s="38"/>
      <c r="F59" s="38"/>
      <c r="G59" s="38"/>
      <c r="H59" s="38"/>
      <c r="I59" s="38"/>
      <c r="J59" s="38"/>
      <c r="K59" s="38"/>
      <c r="L59" s="38"/>
    </row>
    <row r="60" spans="1:12" x14ac:dyDescent="0.45">
      <c r="A60" s="38"/>
      <c r="B60" s="38"/>
      <c r="C60" s="38"/>
      <c r="D60" s="38"/>
      <c r="E60" s="38"/>
      <c r="F60" s="38"/>
      <c r="G60" s="38"/>
      <c r="H60" s="38"/>
      <c r="I60" s="38"/>
      <c r="J60" s="38"/>
      <c r="K60" s="38"/>
      <c r="L60" s="38"/>
    </row>
    <row r="61" spans="1:12" x14ac:dyDescent="0.45">
      <c r="A61" s="38"/>
      <c r="B61" s="38"/>
      <c r="C61" s="38"/>
      <c r="D61" s="38"/>
      <c r="E61" s="38"/>
      <c r="F61" s="38"/>
      <c r="G61" s="38"/>
      <c r="H61" s="38"/>
      <c r="I61" s="38"/>
      <c r="J61" s="38"/>
      <c r="K61" s="38"/>
      <c r="L61" s="38"/>
    </row>
    <row r="62" spans="1:12" x14ac:dyDescent="0.45">
      <c r="A62" s="38"/>
      <c r="B62" s="38"/>
      <c r="C62" s="38"/>
      <c r="D62" s="38"/>
      <c r="E62" s="38"/>
      <c r="F62" s="38"/>
      <c r="G62" s="38"/>
      <c r="H62" s="38"/>
      <c r="I62" s="38"/>
      <c r="J62" s="38"/>
      <c r="K62" s="38"/>
      <c r="L62" s="38"/>
    </row>
    <row r="63" spans="1:12" x14ac:dyDescent="0.45">
      <c r="A63" s="38"/>
      <c r="B63" s="38"/>
      <c r="C63" s="38"/>
      <c r="D63" s="38"/>
      <c r="E63" s="38"/>
      <c r="F63" s="38"/>
      <c r="G63" s="38"/>
      <c r="H63" s="38"/>
      <c r="I63" s="38"/>
      <c r="J63" s="38"/>
      <c r="K63" s="38"/>
      <c r="L63" s="38"/>
    </row>
    <row r="64" spans="1:12" x14ac:dyDescent="0.45">
      <c r="A64" s="38"/>
      <c r="B64" s="38"/>
      <c r="C64" s="38"/>
      <c r="D64" s="38"/>
      <c r="E64" s="38"/>
      <c r="F64" s="38"/>
      <c r="G64" s="38"/>
      <c r="H64" s="38"/>
      <c r="I64" s="38"/>
      <c r="J64" s="38"/>
      <c r="K64" s="38"/>
      <c r="L64" s="38"/>
    </row>
    <row r="65" spans="1:12" x14ac:dyDescent="0.45">
      <c r="A65" s="38"/>
      <c r="B65" s="38"/>
      <c r="C65" s="38"/>
      <c r="D65" s="38"/>
      <c r="E65" s="38"/>
      <c r="F65" s="38"/>
      <c r="G65" s="38"/>
      <c r="H65" s="38"/>
      <c r="I65" s="38"/>
      <c r="J65" s="38"/>
      <c r="K65" s="38"/>
      <c r="L65" s="38"/>
    </row>
    <row r="66" spans="1:12" s="35" customFormat="1" ht="3.75" customHeight="1" x14ac:dyDescent="0.45">
      <c r="A66" s="38"/>
      <c r="B66" s="38"/>
      <c r="C66" s="38"/>
      <c r="D66" s="38"/>
      <c r="E66" s="38"/>
      <c r="F66" s="38"/>
      <c r="G66" s="38"/>
      <c r="H66" s="38"/>
      <c r="I66" s="38"/>
      <c r="J66" s="38"/>
      <c r="K66" s="38"/>
      <c r="L66" s="38"/>
    </row>
    <row r="67" spans="1:12" ht="21.75" customHeight="1" x14ac:dyDescent="0.45">
      <c r="A67" s="38"/>
      <c r="B67" s="38"/>
      <c r="C67" s="38"/>
      <c r="D67" s="38"/>
      <c r="E67" s="38"/>
      <c r="F67" s="38"/>
      <c r="G67" s="38"/>
      <c r="H67" s="38"/>
      <c r="I67" s="38"/>
      <c r="J67" s="38"/>
      <c r="K67" s="38"/>
      <c r="L67" s="38"/>
    </row>
    <row r="68" spans="1:12" x14ac:dyDescent="0.45">
      <c r="A68" s="38"/>
      <c r="B68" s="38"/>
      <c r="C68" s="38"/>
      <c r="D68" s="38"/>
      <c r="E68" s="38"/>
      <c r="F68" s="38"/>
      <c r="G68" s="38"/>
      <c r="H68" s="38"/>
      <c r="I68" s="38"/>
      <c r="J68" s="38"/>
      <c r="K68" s="38"/>
      <c r="L68" s="38"/>
    </row>
    <row r="69" spans="1:12" x14ac:dyDescent="0.45">
      <c r="A69" s="38"/>
      <c r="B69" s="38"/>
      <c r="C69" s="38"/>
      <c r="D69" s="38"/>
      <c r="E69" s="38"/>
      <c r="F69" s="38"/>
      <c r="G69" s="38"/>
      <c r="H69" s="38"/>
      <c r="I69" s="38"/>
      <c r="J69" s="38"/>
      <c r="K69" s="38"/>
      <c r="L69" s="38"/>
    </row>
    <row r="70" spans="1:12" x14ac:dyDescent="0.45">
      <c r="A70" s="38"/>
      <c r="B70" s="38"/>
      <c r="C70" s="38"/>
      <c r="D70" s="38"/>
      <c r="E70" s="38"/>
      <c r="F70" s="38"/>
      <c r="G70" s="38"/>
      <c r="H70" s="38"/>
      <c r="I70" s="38"/>
      <c r="J70" s="38"/>
      <c r="K70" s="38"/>
      <c r="L70" s="38"/>
    </row>
    <row r="71" spans="1:12" x14ac:dyDescent="0.45">
      <c r="A71" s="38"/>
      <c r="B71" s="38"/>
      <c r="C71" s="38"/>
      <c r="D71" s="38"/>
      <c r="E71" s="38"/>
      <c r="F71" s="38"/>
      <c r="G71" s="38"/>
      <c r="H71" s="38"/>
      <c r="I71" s="38"/>
      <c r="J71" s="38"/>
      <c r="K71" s="38"/>
      <c r="L71" s="38"/>
    </row>
    <row r="72" spans="1:12" x14ac:dyDescent="0.45">
      <c r="A72" s="38"/>
      <c r="B72" s="38"/>
      <c r="C72" s="38"/>
      <c r="D72" s="38"/>
      <c r="E72" s="38"/>
      <c r="F72" s="38"/>
      <c r="G72" s="38"/>
      <c r="H72" s="38"/>
      <c r="I72" s="38"/>
      <c r="J72" s="38"/>
      <c r="K72" s="38"/>
      <c r="L72" s="38"/>
    </row>
    <row r="73" spans="1:12" x14ac:dyDescent="0.45">
      <c r="A73" s="38"/>
      <c r="B73" s="38"/>
      <c r="C73" s="38"/>
      <c r="D73" s="38"/>
      <c r="E73" s="38"/>
      <c r="F73" s="38"/>
      <c r="G73" s="38"/>
      <c r="H73" s="38"/>
      <c r="I73" s="38"/>
      <c r="J73" s="38"/>
      <c r="K73" s="38"/>
      <c r="L73" s="38"/>
    </row>
    <row r="74" spans="1:12" x14ac:dyDescent="0.45">
      <c r="A74" s="38"/>
      <c r="B74" s="38"/>
      <c r="C74" s="38"/>
      <c r="D74" s="38"/>
      <c r="E74" s="38"/>
      <c r="F74" s="38"/>
      <c r="G74" s="38"/>
      <c r="H74" s="38"/>
      <c r="I74" s="38"/>
      <c r="J74" s="38"/>
      <c r="K74" s="38"/>
      <c r="L74" s="38"/>
    </row>
    <row r="75" spans="1:12" ht="15.4" customHeight="1" x14ac:dyDescent="0.45">
      <c r="A75" s="38"/>
      <c r="B75" s="38"/>
      <c r="C75" s="38"/>
      <c r="D75" s="38"/>
      <c r="E75" s="38"/>
      <c r="F75" s="38"/>
      <c r="G75" s="38"/>
      <c r="H75" s="38"/>
      <c r="I75" s="38"/>
      <c r="J75" s="38"/>
      <c r="K75" s="38"/>
      <c r="L75" s="38"/>
    </row>
    <row r="76" spans="1:12" x14ac:dyDescent="0.45">
      <c r="A76" s="38"/>
      <c r="B76" s="38"/>
      <c r="C76" s="38"/>
      <c r="D76" s="38"/>
      <c r="E76" s="38"/>
      <c r="F76" s="38"/>
      <c r="G76" s="38"/>
      <c r="H76" s="38"/>
      <c r="I76" s="38"/>
      <c r="J76" s="38"/>
      <c r="K76" s="38"/>
      <c r="L76" s="38"/>
    </row>
    <row r="77" spans="1:12" x14ac:dyDescent="0.45">
      <c r="A77" s="38"/>
      <c r="B77" s="38"/>
      <c r="C77" s="38"/>
      <c r="D77" s="38"/>
      <c r="E77" s="38"/>
      <c r="F77" s="38"/>
      <c r="G77" s="38"/>
      <c r="H77" s="38"/>
      <c r="I77" s="38"/>
      <c r="J77" s="38"/>
      <c r="K77" s="38"/>
      <c r="L77" s="38"/>
    </row>
    <row r="78" spans="1:12" x14ac:dyDescent="0.45">
      <c r="A78" s="38"/>
      <c r="B78" s="38"/>
      <c r="C78" s="38"/>
      <c r="D78" s="38"/>
      <c r="E78" s="38"/>
      <c r="F78" s="38"/>
      <c r="G78" s="38"/>
      <c r="H78" s="38"/>
      <c r="I78" s="38"/>
      <c r="J78" s="38"/>
      <c r="K78" s="38"/>
      <c r="L78" s="38"/>
    </row>
    <row r="79" spans="1:12" x14ac:dyDescent="0.45">
      <c r="A79" s="38"/>
      <c r="B79" s="38"/>
      <c r="C79" s="38"/>
      <c r="D79" s="38"/>
      <c r="E79" s="38"/>
      <c r="F79" s="38"/>
      <c r="G79" s="38"/>
      <c r="H79" s="38"/>
      <c r="I79" s="38"/>
      <c r="J79" s="38"/>
      <c r="K79" s="38"/>
      <c r="L79" s="38"/>
    </row>
    <row r="80" spans="1:12" x14ac:dyDescent="0.45">
      <c r="A80" s="38"/>
      <c r="B80" s="38"/>
      <c r="C80" s="38"/>
      <c r="D80" s="38"/>
      <c r="E80" s="38"/>
      <c r="F80" s="38"/>
      <c r="G80" s="38"/>
      <c r="H80" s="38"/>
      <c r="I80" s="38"/>
      <c r="J80" s="38"/>
      <c r="K80" s="38"/>
      <c r="L80" s="38"/>
    </row>
    <row r="81" spans="1:12" x14ac:dyDescent="0.45">
      <c r="A81" s="38"/>
      <c r="B81" s="38"/>
      <c r="C81" s="38"/>
      <c r="D81" s="38"/>
      <c r="E81" s="38"/>
      <c r="F81" s="38"/>
      <c r="G81" s="38"/>
      <c r="H81" s="38"/>
      <c r="I81" s="38"/>
      <c r="J81" s="38"/>
      <c r="K81" s="38"/>
      <c r="L81" s="38"/>
    </row>
    <row r="82" spans="1:12" x14ac:dyDescent="0.45">
      <c r="A82" s="38"/>
      <c r="B82" s="38"/>
      <c r="C82" s="38"/>
      <c r="D82" s="38"/>
      <c r="E82" s="38"/>
      <c r="F82" s="38"/>
      <c r="G82" s="38"/>
      <c r="H82" s="38"/>
      <c r="I82" s="38"/>
      <c r="J82" s="38"/>
      <c r="K82" s="38"/>
      <c r="L82" s="38"/>
    </row>
    <row r="83" spans="1:12" x14ac:dyDescent="0.45">
      <c r="A83" s="38"/>
      <c r="B83" s="38"/>
      <c r="C83" s="38"/>
      <c r="D83" s="38"/>
      <c r="E83" s="38"/>
      <c r="F83" s="38"/>
      <c r="G83" s="38"/>
      <c r="H83" s="38"/>
      <c r="I83" s="38"/>
      <c r="J83" s="38"/>
      <c r="K83" s="38"/>
      <c r="L83" s="38"/>
    </row>
    <row r="84" spans="1:12" x14ac:dyDescent="0.45">
      <c r="A84" s="38"/>
      <c r="B84" s="38"/>
      <c r="C84" s="38"/>
      <c r="D84" s="38"/>
      <c r="E84" s="38"/>
      <c r="F84" s="38"/>
      <c r="G84" s="38"/>
      <c r="H84" s="38"/>
      <c r="I84" s="38"/>
      <c r="J84" s="38"/>
      <c r="K84" s="38"/>
      <c r="L84" s="38"/>
    </row>
    <row r="85" spans="1:12" x14ac:dyDescent="0.45">
      <c r="A85" s="38"/>
      <c r="B85" s="38"/>
      <c r="C85" s="38"/>
      <c r="D85" s="38"/>
      <c r="E85" s="38"/>
      <c r="F85" s="38"/>
      <c r="G85" s="38"/>
      <c r="H85" s="38"/>
      <c r="I85" s="38"/>
      <c r="J85" s="38"/>
      <c r="K85" s="38"/>
      <c r="L85" s="38"/>
    </row>
    <row r="86" spans="1:12" x14ac:dyDescent="0.45">
      <c r="A86" s="38"/>
      <c r="B86" s="38"/>
      <c r="C86" s="38"/>
      <c r="D86" s="38"/>
      <c r="E86" s="38"/>
      <c r="F86" s="38"/>
      <c r="G86" s="38"/>
      <c r="H86" s="38"/>
      <c r="I86" s="38"/>
      <c r="J86" s="38"/>
      <c r="K86" s="38"/>
      <c r="L86" s="38"/>
    </row>
    <row r="87" spans="1:12" x14ac:dyDescent="0.45">
      <c r="A87" s="38"/>
      <c r="B87" s="38"/>
      <c r="C87" s="38"/>
      <c r="D87" s="38"/>
      <c r="E87" s="38"/>
      <c r="F87" s="38"/>
      <c r="G87" s="38"/>
      <c r="H87" s="38"/>
      <c r="I87" s="38"/>
      <c r="J87" s="38"/>
      <c r="K87" s="38"/>
      <c r="L87" s="38"/>
    </row>
    <row r="88" spans="1:12" x14ac:dyDescent="0.45">
      <c r="A88" s="38"/>
      <c r="B88" s="38"/>
      <c r="C88" s="38"/>
      <c r="D88" s="38"/>
      <c r="E88" s="38"/>
      <c r="F88" s="38"/>
      <c r="G88" s="38"/>
      <c r="H88" s="38"/>
      <c r="I88" s="38"/>
      <c r="J88" s="38"/>
      <c r="K88" s="38"/>
      <c r="L88" s="38"/>
    </row>
    <row r="89" spans="1:12" x14ac:dyDescent="0.45">
      <c r="A89" s="38"/>
      <c r="B89" s="38"/>
      <c r="C89" s="38"/>
      <c r="D89" s="38"/>
      <c r="E89" s="38"/>
      <c r="F89" s="38"/>
      <c r="G89" s="38"/>
      <c r="H89" s="38"/>
      <c r="I89" s="38"/>
      <c r="J89" s="38"/>
      <c r="K89" s="38"/>
      <c r="L89" s="38"/>
    </row>
    <row r="90" spans="1:12" s="11" customFormat="1" x14ac:dyDescent="0.45">
      <c r="A90" s="38"/>
      <c r="B90" s="38"/>
      <c r="C90" s="38"/>
      <c r="D90" s="38"/>
      <c r="E90" s="38"/>
      <c r="F90" s="38"/>
      <c r="G90" s="38"/>
      <c r="H90" s="38"/>
      <c r="I90" s="38"/>
      <c r="J90" s="38"/>
      <c r="K90" s="38"/>
      <c r="L90" s="38"/>
    </row>
    <row r="91" spans="1:12" x14ac:dyDescent="0.45">
      <c r="A91" s="38"/>
      <c r="B91" s="38"/>
      <c r="C91" s="38"/>
      <c r="D91" s="38"/>
      <c r="E91" s="38"/>
      <c r="F91" s="38"/>
      <c r="G91" s="38"/>
      <c r="H91" s="38"/>
      <c r="I91" s="38"/>
      <c r="J91" s="38"/>
      <c r="K91" s="38"/>
      <c r="L91" s="38"/>
    </row>
    <row r="92" spans="1:12" x14ac:dyDescent="0.45">
      <c r="A92" s="38"/>
      <c r="B92" s="38"/>
      <c r="C92" s="38"/>
      <c r="D92" s="38"/>
      <c r="E92" s="38"/>
      <c r="F92" s="38"/>
      <c r="G92" s="38"/>
      <c r="H92" s="38"/>
      <c r="I92" s="38"/>
      <c r="J92" s="38"/>
      <c r="K92" s="38"/>
      <c r="L92" s="38"/>
    </row>
    <row r="93" spans="1:12" x14ac:dyDescent="0.45">
      <c r="A93" s="38"/>
      <c r="B93" s="38"/>
      <c r="C93" s="38"/>
      <c r="D93" s="38"/>
      <c r="E93" s="38"/>
      <c r="F93" s="38"/>
      <c r="G93" s="38"/>
      <c r="H93" s="38"/>
      <c r="I93" s="38"/>
      <c r="J93" s="38"/>
      <c r="K93" s="38"/>
      <c r="L93" s="38"/>
    </row>
    <row r="94" spans="1:12" s="11" customFormat="1" x14ac:dyDescent="0.45">
      <c r="A94" s="38"/>
      <c r="B94" s="38"/>
      <c r="C94" s="38"/>
      <c r="D94" s="38"/>
      <c r="E94" s="38"/>
      <c r="F94" s="38"/>
      <c r="G94" s="38"/>
      <c r="H94" s="38"/>
      <c r="I94" s="38"/>
      <c r="J94" s="38"/>
      <c r="K94" s="38"/>
      <c r="L94" s="38"/>
    </row>
    <row r="95" spans="1:12" s="11" customFormat="1" x14ac:dyDescent="0.45">
      <c r="A95" s="38"/>
      <c r="B95" s="38"/>
      <c r="C95" s="38"/>
      <c r="D95" s="38"/>
      <c r="E95" s="38"/>
      <c r="F95" s="38"/>
      <c r="G95" s="38"/>
      <c r="H95" s="38"/>
      <c r="I95" s="38"/>
      <c r="J95" s="38"/>
      <c r="K95" s="38"/>
      <c r="L95" s="38"/>
    </row>
    <row r="96" spans="1:12" s="11" customFormat="1" x14ac:dyDescent="0.45">
      <c r="A96" s="38"/>
      <c r="B96" s="38"/>
      <c r="C96" s="38"/>
      <c r="D96" s="38"/>
      <c r="E96" s="38"/>
      <c r="F96" s="38"/>
      <c r="G96" s="38"/>
      <c r="H96" s="38"/>
      <c r="I96" s="38"/>
      <c r="J96" s="38"/>
      <c r="K96" s="38"/>
      <c r="L96" s="38"/>
    </row>
    <row r="97" spans="1:12" s="11" customFormat="1" x14ac:dyDescent="0.45">
      <c r="A97" s="38"/>
      <c r="B97" s="38"/>
      <c r="C97" s="38"/>
      <c r="D97" s="38"/>
      <c r="E97" s="38"/>
      <c r="F97" s="38"/>
      <c r="G97" s="38"/>
      <c r="H97" s="38"/>
      <c r="I97" s="38"/>
      <c r="J97" s="38"/>
      <c r="K97" s="38"/>
      <c r="L97" s="38"/>
    </row>
    <row r="98" spans="1:12" x14ac:dyDescent="0.45">
      <c r="A98" s="38"/>
      <c r="B98" s="38"/>
      <c r="C98" s="38"/>
      <c r="D98" s="38"/>
      <c r="E98" s="38"/>
      <c r="F98" s="38"/>
      <c r="G98" s="38"/>
      <c r="H98" s="38"/>
      <c r="I98" s="38"/>
      <c r="J98" s="38"/>
      <c r="K98" s="38"/>
      <c r="L98" s="38"/>
    </row>
    <row r="99" spans="1:12" x14ac:dyDescent="0.45">
      <c r="A99" s="38"/>
      <c r="B99" s="38"/>
      <c r="C99" s="38"/>
      <c r="D99" s="38"/>
      <c r="E99" s="38"/>
      <c r="F99" s="38"/>
      <c r="G99" s="38"/>
      <c r="H99" s="38"/>
      <c r="I99" s="38"/>
      <c r="J99" s="38"/>
      <c r="K99" s="38"/>
      <c r="L99" s="38"/>
    </row>
    <row r="100" spans="1:12" x14ac:dyDescent="0.45">
      <c r="A100" s="38"/>
      <c r="B100" s="38"/>
      <c r="C100" s="38"/>
      <c r="D100" s="38"/>
      <c r="E100" s="38"/>
      <c r="F100" s="38"/>
      <c r="G100" s="38"/>
      <c r="H100" s="38"/>
      <c r="I100" s="71"/>
      <c r="J100" s="38"/>
      <c r="K100" s="38"/>
      <c r="L100" s="38"/>
    </row>
    <row r="101" spans="1:12" x14ac:dyDescent="0.45">
      <c r="A101" s="38"/>
      <c r="B101" s="38"/>
      <c r="C101" s="38"/>
      <c r="D101" s="38"/>
      <c r="E101" s="38"/>
      <c r="F101" s="38"/>
      <c r="G101" s="38"/>
      <c r="H101" s="38"/>
      <c r="I101" s="38"/>
      <c r="J101" s="38"/>
      <c r="K101" s="38"/>
      <c r="L101" s="38"/>
    </row>
    <row r="102" spans="1:12" x14ac:dyDescent="0.45">
      <c r="A102" s="38"/>
      <c r="B102" s="38"/>
      <c r="C102" s="38"/>
      <c r="D102" s="38"/>
      <c r="E102" s="38"/>
      <c r="F102" s="38"/>
      <c r="G102" s="38"/>
      <c r="H102" s="38"/>
      <c r="I102" s="38"/>
      <c r="J102" s="38"/>
      <c r="K102" s="38"/>
      <c r="L102" s="38"/>
    </row>
    <row r="103" spans="1:12" x14ac:dyDescent="0.45">
      <c r="A103" s="38"/>
      <c r="B103" s="38"/>
      <c r="C103" s="38"/>
      <c r="D103" s="38"/>
      <c r="E103" s="38"/>
      <c r="F103" s="38"/>
      <c r="G103" s="38"/>
      <c r="H103" s="38"/>
      <c r="I103" s="38"/>
      <c r="J103" s="38"/>
      <c r="K103" s="38"/>
      <c r="L103" s="38"/>
    </row>
    <row r="104" spans="1:12" x14ac:dyDescent="0.45">
      <c r="A104" s="38"/>
      <c r="B104" s="38"/>
      <c r="C104" s="38"/>
      <c r="D104" s="38"/>
      <c r="E104" s="38"/>
      <c r="F104" s="38"/>
      <c r="G104" s="38"/>
      <c r="H104" s="38"/>
      <c r="I104" s="38"/>
      <c r="J104" s="38"/>
      <c r="K104" s="38"/>
      <c r="L104" s="38"/>
    </row>
    <row r="105" spans="1:12" x14ac:dyDescent="0.45">
      <c r="A105" s="38"/>
      <c r="B105" s="38"/>
      <c r="C105" s="38"/>
      <c r="D105" s="38"/>
      <c r="E105" s="38"/>
      <c r="F105" s="38"/>
      <c r="G105" s="38"/>
      <c r="H105" s="38"/>
      <c r="I105" s="38"/>
      <c r="J105" s="38"/>
      <c r="K105" s="38"/>
      <c r="L105" s="38"/>
    </row>
    <row r="106" spans="1:12" x14ac:dyDescent="0.45">
      <c r="A106" s="38"/>
      <c r="B106" s="38"/>
      <c r="C106" s="38"/>
      <c r="D106" s="38"/>
      <c r="E106" s="38"/>
      <c r="F106" s="38"/>
      <c r="G106" s="38"/>
      <c r="H106" s="38"/>
      <c r="I106" s="38"/>
      <c r="J106" s="38"/>
      <c r="K106" s="38"/>
      <c r="L106" s="38"/>
    </row>
    <row r="107" spans="1:12" x14ac:dyDescent="0.45">
      <c r="A107" s="38"/>
      <c r="B107" s="38"/>
      <c r="C107" s="38"/>
      <c r="D107" s="38"/>
      <c r="E107" s="38"/>
      <c r="F107" s="38"/>
      <c r="G107" s="38"/>
      <c r="H107" s="38"/>
      <c r="I107" s="38"/>
      <c r="J107" s="38"/>
      <c r="K107" s="38"/>
      <c r="L107" s="38"/>
    </row>
    <row r="108" spans="1:12" x14ac:dyDescent="0.45">
      <c r="A108" s="38"/>
      <c r="B108" s="38"/>
      <c r="C108" s="38"/>
      <c r="D108" s="38"/>
      <c r="E108" s="38"/>
      <c r="F108" s="38"/>
      <c r="G108" s="38"/>
      <c r="H108" s="38"/>
      <c r="I108" s="38"/>
      <c r="J108" s="38"/>
      <c r="K108" s="38"/>
      <c r="L108" s="38"/>
    </row>
    <row r="109" spans="1:12" x14ac:dyDescent="0.45">
      <c r="A109" s="38"/>
      <c r="B109" s="38"/>
      <c r="C109" s="38"/>
      <c r="D109" s="38"/>
      <c r="E109" s="38"/>
      <c r="F109" s="38"/>
      <c r="G109" s="38"/>
      <c r="H109" s="38"/>
      <c r="I109" s="38"/>
      <c r="J109" s="38"/>
      <c r="K109" s="38"/>
      <c r="L109" s="38"/>
    </row>
    <row r="110" spans="1:12" s="11" customFormat="1" x14ac:dyDescent="0.45">
      <c r="A110" s="38"/>
      <c r="B110" s="38"/>
      <c r="C110" s="38"/>
      <c r="D110" s="38"/>
      <c r="E110" s="38"/>
      <c r="F110" s="38"/>
      <c r="G110" s="38"/>
      <c r="H110" s="38"/>
      <c r="I110" s="38"/>
      <c r="J110" s="38"/>
      <c r="K110" s="38"/>
      <c r="L110" s="38"/>
    </row>
    <row r="111" spans="1:12" x14ac:dyDescent="0.45">
      <c r="A111" s="38"/>
      <c r="B111" s="38"/>
      <c r="C111" s="38"/>
      <c r="D111" s="38"/>
      <c r="E111" s="38"/>
      <c r="F111" s="38"/>
      <c r="G111" s="38"/>
      <c r="H111" s="38"/>
      <c r="I111" s="71"/>
      <c r="J111" s="38"/>
      <c r="K111" s="38"/>
      <c r="L111" s="38"/>
    </row>
    <row r="112" spans="1:12" x14ac:dyDescent="0.45">
      <c r="A112" s="38"/>
      <c r="B112" s="38"/>
      <c r="C112" s="38"/>
      <c r="D112" s="38"/>
      <c r="E112" s="38"/>
      <c r="F112" s="38"/>
      <c r="G112" s="38"/>
      <c r="H112" s="38"/>
      <c r="I112" s="38"/>
      <c r="J112" s="38"/>
      <c r="K112" s="38"/>
      <c r="L112" s="38"/>
    </row>
    <row r="113" spans="1:12" x14ac:dyDescent="0.45">
      <c r="A113" s="38"/>
      <c r="B113" s="38"/>
      <c r="C113" s="38"/>
      <c r="D113" s="38"/>
      <c r="E113" s="38"/>
      <c r="F113" s="38"/>
      <c r="G113" s="38"/>
      <c r="H113" s="38"/>
      <c r="I113" s="38"/>
      <c r="J113" s="38"/>
      <c r="K113" s="38"/>
      <c r="L113" s="38"/>
    </row>
    <row r="114" spans="1:12" x14ac:dyDescent="0.45">
      <c r="A114" s="38"/>
      <c r="B114" s="38"/>
      <c r="C114" s="38"/>
      <c r="D114" s="38"/>
      <c r="E114" s="38"/>
      <c r="F114" s="38"/>
      <c r="G114" s="38"/>
      <c r="H114" s="38"/>
      <c r="I114" s="38"/>
      <c r="J114" s="38"/>
      <c r="K114" s="38"/>
      <c r="L114" s="38"/>
    </row>
    <row r="115" spans="1:12" x14ac:dyDescent="0.45">
      <c r="A115" s="38"/>
      <c r="B115" s="38"/>
      <c r="C115" s="38"/>
      <c r="D115" s="38"/>
      <c r="E115" s="38"/>
      <c r="F115" s="38"/>
      <c r="G115" s="38"/>
      <c r="H115" s="38"/>
      <c r="I115" s="38"/>
      <c r="J115" s="38"/>
      <c r="K115" s="38"/>
      <c r="L115" s="38"/>
    </row>
    <row r="116" spans="1:12" x14ac:dyDescent="0.45">
      <c r="A116" s="38"/>
      <c r="B116" s="38"/>
      <c r="C116" s="38"/>
      <c r="D116" s="38"/>
      <c r="E116" s="38"/>
      <c r="F116" s="38"/>
      <c r="G116" s="38"/>
      <c r="H116" s="38"/>
      <c r="I116" s="38"/>
      <c r="J116" s="38"/>
      <c r="K116" s="38"/>
      <c r="L116" s="38"/>
    </row>
    <row r="117" spans="1:12" x14ac:dyDescent="0.45">
      <c r="A117" s="38"/>
      <c r="B117" s="38"/>
      <c r="C117" s="38"/>
      <c r="D117" s="38"/>
      <c r="E117" s="38"/>
      <c r="F117" s="38"/>
      <c r="G117" s="38"/>
      <c r="H117" s="38"/>
      <c r="I117" s="38"/>
      <c r="J117" s="38"/>
      <c r="K117" s="38"/>
      <c r="L117" s="38"/>
    </row>
    <row r="118" spans="1:12" x14ac:dyDescent="0.45">
      <c r="A118" s="38"/>
      <c r="B118" s="38"/>
      <c r="C118" s="38"/>
      <c r="D118" s="38"/>
      <c r="E118" s="38"/>
      <c r="F118" s="38"/>
      <c r="G118" s="38"/>
      <c r="H118" s="38"/>
      <c r="I118" s="38"/>
      <c r="J118" s="38"/>
      <c r="K118" s="38"/>
      <c r="L118" s="38"/>
    </row>
    <row r="119" spans="1:12" x14ac:dyDescent="0.45">
      <c r="A119" s="38"/>
      <c r="B119" s="38"/>
      <c r="C119" s="38"/>
      <c r="D119" s="38"/>
      <c r="E119" s="38"/>
      <c r="F119" s="38"/>
      <c r="G119" s="38"/>
      <c r="H119" s="38"/>
      <c r="I119" s="38"/>
      <c r="J119" s="38"/>
      <c r="K119" s="38"/>
      <c r="L119" s="38"/>
    </row>
    <row r="120" spans="1:12" x14ac:dyDescent="0.45">
      <c r="A120" s="38"/>
      <c r="B120" s="38"/>
      <c r="C120" s="38"/>
      <c r="D120" s="38"/>
      <c r="E120" s="38"/>
      <c r="F120" s="38"/>
      <c r="G120" s="38"/>
      <c r="H120" s="38"/>
      <c r="I120" s="38"/>
      <c r="J120" s="38"/>
      <c r="K120" s="38"/>
      <c r="L120" s="38"/>
    </row>
    <row r="121" spans="1:12" s="11" customFormat="1" x14ac:dyDescent="0.45">
      <c r="A121" s="38"/>
      <c r="B121" s="38"/>
      <c r="C121" s="38"/>
      <c r="D121" s="38"/>
      <c r="E121" s="38"/>
      <c r="F121" s="38"/>
      <c r="G121" s="38"/>
      <c r="H121" s="38"/>
      <c r="I121" s="38"/>
      <c r="J121" s="38"/>
      <c r="K121" s="38"/>
      <c r="L121" s="38"/>
    </row>
    <row r="122" spans="1:12" x14ac:dyDescent="0.45">
      <c r="A122" s="38"/>
      <c r="B122" s="38"/>
      <c r="C122" s="38"/>
      <c r="D122" s="38"/>
      <c r="E122" s="38"/>
      <c r="F122" s="38"/>
      <c r="G122" s="38"/>
      <c r="H122" s="38"/>
      <c r="I122" s="71"/>
      <c r="J122" s="38"/>
      <c r="K122" s="38"/>
      <c r="L122" s="38"/>
    </row>
    <row r="123" spans="1:12" x14ac:dyDescent="0.45">
      <c r="A123" s="38"/>
      <c r="B123" s="38"/>
      <c r="C123" s="38"/>
      <c r="D123" s="38"/>
      <c r="E123" s="38"/>
      <c r="F123" s="38"/>
      <c r="G123" s="38"/>
      <c r="H123" s="38"/>
      <c r="I123" s="38"/>
      <c r="J123" s="38"/>
      <c r="K123" s="38"/>
      <c r="L123" s="38"/>
    </row>
    <row r="124" spans="1:12" x14ac:dyDescent="0.45">
      <c r="A124" s="38"/>
      <c r="B124" s="38"/>
      <c r="C124" s="38"/>
      <c r="D124" s="38"/>
      <c r="E124" s="38"/>
      <c r="F124" s="38"/>
      <c r="G124" s="38"/>
      <c r="H124" s="38"/>
      <c r="I124" s="38"/>
      <c r="J124" s="38"/>
      <c r="K124" s="38"/>
      <c r="L124" s="38"/>
    </row>
    <row r="125" spans="1:12" x14ac:dyDescent="0.45">
      <c r="A125" s="38"/>
      <c r="B125" s="38"/>
      <c r="C125" s="38"/>
      <c r="D125" s="38"/>
      <c r="E125" s="38"/>
      <c r="F125" s="38"/>
      <c r="G125" s="38"/>
      <c r="H125" s="38"/>
      <c r="I125" s="38"/>
      <c r="J125" s="38"/>
      <c r="K125" s="38"/>
      <c r="L125" s="38"/>
    </row>
    <row r="126" spans="1:12" x14ac:dyDescent="0.45">
      <c r="A126" s="38"/>
      <c r="B126" s="38"/>
      <c r="C126" s="38"/>
      <c r="D126" s="38"/>
      <c r="E126" s="38"/>
      <c r="F126" s="38"/>
      <c r="G126" s="38"/>
      <c r="H126" s="38"/>
      <c r="I126" s="38"/>
      <c r="J126" s="38"/>
      <c r="K126" s="38"/>
      <c r="L126" s="38"/>
    </row>
    <row r="127" spans="1:12" x14ac:dyDescent="0.45">
      <c r="A127" s="38"/>
      <c r="B127" s="38"/>
      <c r="C127" s="38"/>
      <c r="D127" s="38"/>
      <c r="E127" s="38"/>
      <c r="F127" s="38"/>
      <c r="G127" s="38"/>
      <c r="H127" s="38"/>
      <c r="I127" s="38"/>
      <c r="J127" s="38"/>
      <c r="K127" s="38"/>
      <c r="L127" s="38"/>
    </row>
    <row r="128" spans="1:12" x14ac:dyDescent="0.45">
      <c r="A128" s="38"/>
      <c r="B128" s="38"/>
      <c r="C128" s="38"/>
      <c r="D128" s="38"/>
      <c r="E128" s="38"/>
      <c r="F128" s="38"/>
      <c r="G128" s="38"/>
      <c r="H128" s="38"/>
      <c r="I128" s="38"/>
      <c r="J128" s="38"/>
      <c r="K128" s="38"/>
      <c r="L128" s="38"/>
    </row>
    <row r="129" spans="1:12" x14ac:dyDescent="0.45">
      <c r="A129" s="38"/>
      <c r="B129" s="38"/>
      <c r="C129" s="38"/>
      <c r="D129" s="38"/>
      <c r="E129" s="38"/>
      <c r="F129" s="38"/>
      <c r="G129" s="38"/>
      <c r="H129" s="38"/>
      <c r="I129" s="38"/>
      <c r="J129" s="38"/>
      <c r="K129" s="38"/>
      <c r="L129" s="38"/>
    </row>
    <row r="130" spans="1:12" x14ac:dyDescent="0.45">
      <c r="A130" s="38"/>
      <c r="B130" s="38"/>
      <c r="C130" s="38"/>
      <c r="D130" s="38"/>
      <c r="E130" s="38"/>
      <c r="F130" s="38"/>
      <c r="G130" s="38"/>
      <c r="H130" s="38"/>
      <c r="I130" s="38"/>
      <c r="J130" s="38"/>
      <c r="K130" s="38"/>
      <c r="L130" s="38"/>
    </row>
    <row r="131" spans="1:12" ht="17.649999999999999" customHeight="1" x14ac:dyDescent="0.45">
      <c r="A131" s="38"/>
      <c r="B131" s="38"/>
      <c r="C131" s="38"/>
      <c r="D131" s="38"/>
      <c r="E131" s="38"/>
      <c r="F131" s="38"/>
      <c r="G131" s="38"/>
      <c r="H131" s="38"/>
      <c r="I131" s="38"/>
      <c r="J131" s="38"/>
      <c r="K131" s="38"/>
      <c r="L131" s="38"/>
    </row>
    <row r="132" spans="1:12" x14ac:dyDescent="0.45">
      <c r="A132" s="38"/>
      <c r="B132" s="38"/>
      <c r="C132" s="38"/>
      <c r="D132" s="38"/>
      <c r="E132" s="38"/>
      <c r="F132" s="38"/>
      <c r="G132" s="38"/>
      <c r="H132" s="38"/>
      <c r="I132" s="38"/>
      <c r="J132" s="38"/>
      <c r="K132" s="38"/>
      <c r="L132" s="38"/>
    </row>
    <row r="133" spans="1:12" x14ac:dyDescent="0.45">
      <c r="A133" s="38"/>
      <c r="B133" s="38"/>
      <c r="C133" s="38"/>
      <c r="D133" s="38"/>
      <c r="E133" s="38"/>
      <c r="F133" s="38"/>
      <c r="G133" s="38"/>
      <c r="H133" s="38"/>
      <c r="I133" s="38"/>
      <c r="J133" s="38"/>
      <c r="K133" s="38"/>
      <c r="L133" s="38"/>
    </row>
    <row r="134" spans="1:12" x14ac:dyDescent="0.45">
      <c r="A134" s="38"/>
      <c r="B134" s="38"/>
      <c r="C134" s="38"/>
      <c r="D134" s="38"/>
      <c r="E134" s="38"/>
      <c r="F134" s="38"/>
      <c r="G134" s="38"/>
      <c r="H134" s="38"/>
      <c r="I134" s="38"/>
      <c r="J134" s="38"/>
      <c r="K134" s="38"/>
      <c r="L134" s="38"/>
    </row>
  </sheetData>
  <mergeCells count="32">
    <mergeCell ref="F40:G40"/>
    <mergeCell ref="F38:G38"/>
    <mergeCell ref="F39:G39"/>
    <mergeCell ref="F37:G37"/>
    <mergeCell ref="F35:G35"/>
    <mergeCell ref="A1:K1"/>
    <mergeCell ref="D13:F13"/>
    <mergeCell ref="D14:F14"/>
    <mergeCell ref="D15:F15"/>
    <mergeCell ref="C3:E3"/>
    <mergeCell ref="A2:A6"/>
    <mergeCell ref="A7:A9"/>
    <mergeCell ref="B27:G27"/>
    <mergeCell ref="B28:G28"/>
    <mergeCell ref="B29:G29"/>
    <mergeCell ref="A18:K18"/>
    <mergeCell ref="A19:K19"/>
    <mergeCell ref="B11:K11"/>
    <mergeCell ref="B12:F12"/>
    <mergeCell ref="A26:G26"/>
    <mergeCell ref="A17:K17"/>
    <mergeCell ref="B2:K2"/>
    <mergeCell ref="B7:K7"/>
    <mergeCell ref="B8:K8"/>
    <mergeCell ref="B9:K9"/>
    <mergeCell ref="A10:K10"/>
    <mergeCell ref="B30:G30"/>
    <mergeCell ref="B31:G31"/>
    <mergeCell ref="B32:G32"/>
    <mergeCell ref="A34:D34"/>
    <mergeCell ref="F34:G34"/>
    <mergeCell ref="F36:G36"/>
  </mergeCells>
  <phoneticPr fontId="16" type="noConversion"/>
  <conditionalFormatting sqref="A43:A46">
    <cfRule type="expression" dxfId="1" priority="1">
      <formula>($F43&gt;0)</formula>
    </cfRule>
    <cfRule type="expression" dxfId="0" priority="2">
      <formula>($F43=0)</formula>
    </cfRule>
  </conditionalFormatting>
  <printOptions headings="1"/>
  <pageMargins left="0.7" right="0.7" top="0.75" bottom="0.75" header="0.3" footer="0.3"/>
  <pageSetup scale="81" fitToHeight="0" orientation="landscape" r:id="rId1"/>
  <headerFooter>
    <oddHeader>&amp;L9/11/2020&amp;CCEE 5410/6410
HW 2 - Graphical and Simplex Solutions&amp;RJoshua Ward
A02081581</oddHeader>
    <oddFooter>&amp;L
&amp;C&amp;A
&amp;F&amp;R&amp;P / &amp;N</oddFooter>
  </headerFooter>
  <rowBreaks count="2" manualBreakCount="2">
    <brk id="33" max="16383" man="1"/>
    <brk id="109"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2AADB-CF78-46BC-A5F3-12B548FE383C}">
  <dimension ref="A1:G30"/>
  <sheetViews>
    <sheetView showGridLines="0" tabSelected="1" topLeftCell="A10" workbookViewId="0">
      <selection activeCell="D26" sqref="D26:D30"/>
    </sheetView>
  </sheetViews>
  <sheetFormatPr defaultRowHeight="15.4" x14ac:dyDescent="0.45"/>
  <cols>
    <col min="1" max="1" width="2.0625" customWidth="1"/>
    <col min="2" max="2" width="6.125" bestFit="1" customWidth="1"/>
    <col min="3" max="3" width="25.75" bestFit="1" customWidth="1"/>
    <col min="4" max="4" width="13.5" bestFit="1" customWidth="1"/>
    <col min="5" max="5" width="13.6875" bestFit="1" customWidth="1"/>
    <col min="6" max="6" width="10.4375" bestFit="1" customWidth="1"/>
    <col min="7" max="7" width="5.3125" bestFit="1" customWidth="1"/>
  </cols>
  <sheetData>
    <row r="1" spans="1:5" x14ac:dyDescent="0.45">
      <c r="A1" s="72" t="s">
        <v>63</v>
      </c>
    </row>
    <row r="2" spans="1:5" x14ac:dyDescent="0.45">
      <c r="A2" s="72" t="s">
        <v>64</v>
      </c>
    </row>
    <row r="3" spans="1:5" x14ac:dyDescent="0.45">
      <c r="A3" s="72" t="s">
        <v>115</v>
      </c>
    </row>
    <row r="4" spans="1:5" x14ac:dyDescent="0.45">
      <c r="A4" s="72" t="s">
        <v>65</v>
      </c>
    </row>
    <row r="5" spans="1:5" x14ac:dyDescent="0.45">
      <c r="A5" s="72" t="s">
        <v>66</v>
      </c>
    </row>
    <row r="6" spans="1:5" x14ac:dyDescent="0.45">
      <c r="A6" s="72"/>
      <c r="B6" t="s">
        <v>67</v>
      </c>
    </row>
    <row r="7" spans="1:5" x14ac:dyDescent="0.45">
      <c r="A7" s="72"/>
      <c r="B7" t="s">
        <v>116</v>
      </c>
    </row>
    <row r="8" spans="1:5" x14ac:dyDescent="0.45">
      <c r="A8" s="72"/>
      <c r="B8" t="s">
        <v>68</v>
      </c>
    </row>
    <row r="9" spans="1:5" x14ac:dyDescent="0.45">
      <c r="A9" s="72" t="s">
        <v>69</v>
      </c>
    </row>
    <row r="10" spans="1:5" x14ac:dyDescent="0.45">
      <c r="B10" t="s">
        <v>70</v>
      </c>
    </row>
    <row r="11" spans="1:5" x14ac:dyDescent="0.45">
      <c r="B11" t="s">
        <v>71</v>
      </c>
    </row>
    <row r="14" spans="1:5" ht="15.75" thickBot="1" x14ac:dyDescent="0.5">
      <c r="A14" t="s">
        <v>72</v>
      </c>
    </row>
    <row r="15" spans="1:5" ht="15.75" thickBot="1" x14ac:dyDescent="0.5">
      <c r="B15" s="74" t="s">
        <v>73</v>
      </c>
      <c r="C15" s="74" t="s">
        <v>74</v>
      </c>
      <c r="D15" s="74" t="s">
        <v>75</v>
      </c>
      <c r="E15" s="74" t="s">
        <v>76</v>
      </c>
    </row>
    <row r="16" spans="1:5" ht="15.75" thickBot="1" x14ac:dyDescent="0.5">
      <c r="B16" s="73" t="s">
        <v>82</v>
      </c>
      <c r="C16" s="73" t="s">
        <v>83</v>
      </c>
      <c r="D16" s="77">
        <v>1160000</v>
      </c>
      <c r="E16" s="77">
        <v>1160000</v>
      </c>
    </row>
    <row r="19" spans="1:7" ht="15.75" thickBot="1" x14ac:dyDescent="0.5">
      <c r="A19" t="s">
        <v>77</v>
      </c>
    </row>
    <row r="20" spans="1:7" ht="15.75" thickBot="1" x14ac:dyDescent="0.5">
      <c r="B20" s="74" t="s">
        <v>73</v>
      </c>
      <c r="C20" s="74" t="s">
        <v>74</v>
      </c>
      <c r="D20" s="74" t="s">
        <v>75</v>
      </c>
      <c r="E20" s="74" t="s">
        <v>76</v>
      </c>
      <c r="F20" s="74" t="s">
        <v>78</v>
      </c>
    </row>
    <row r="21" spans="1:7" x14ac:dyDescent="0.45">
      <c r="B21" s="76" t="s">
        <v>84</v>
      </c>
      <c r="C21" s="76" t="s">
        <v>85</v>
      </c>
      <c r="D21" s="78">
        <v>2000</v>
      </c>
      <c r="E21" s="78">
        <v>2000</v>
      </c>
      <c r="F21" s="76" t="s">
        <v>86</v>
      </c>
    </row>
    <row r="22" spans="1:7" ht="15.75" thickBot="1" x14ac:dyDescent="0.5">
      <c r="B22" s="73" t="s">
        <v>87</v>
      </c>
      <c r="C22" s="73" t="s">
        <v>88</v>
      </c>
      <c r="D22" s="79">
        <v>8000</v>
      </c>
      <c r="E22" s="79">
        <v>8000</v>
      </c>
      <c r="F22" s="73" t="s">
        <v>86</v>
      </c>
    </row>
    <row r="25" spans="1:7" ht="15.75" thickBot="1" x14ac:dyDescent="0.5">
      <c r="A25" t="s">
        <v>79</v>
      </c>
    </row>
    <row r="26" spans="1:7" ht="15.75" thickBot="1" x14ac:dyDescent="0.5">
      <c r="B26" s="74" t="s">
        <v>73</v>
      </c>
      <c r="C26" s="74" t="s">
        <v>74</v>
      </c>
      <c r="D26" s="74" t="s">
        <v>80</v>
      </c>
      <c r="E26" s="74" t="s">
        <v>81</v>
      </c>
      <c r="F26" s="74" t="s">
        <v>44</v>
      </c>
      <c r="G26" s="74" t="s">
        <v>52</v>
      </c>
    </row>
    <row r="27" spans="1:7" x14ac:dyDescent="0.45">
      <c r="B27" s="76" t="s">
        <v>89</v>
      </c>
      <c r="C27" s="76" t="s">
        <v>90</v>
      </c>
      <c r="D27" s="78">
        <v>10000</v>
      </c>
      <c r="E27" s="76" t="s">
        <v>91</v>
      </c>
      <c r="F27" s="76" t="s">
        <v>45</v>
      </c>
      <c r="G27" s="76">
        <v>0</v>
      </c>
    </row>
    <row r="28" spans="1:7" x14ac:dyDescent="0.45">
      <c r="B28" s="76" t="s">
        <v>92</v>
      </c>
      <c r="C28" s="76" t="s">
        <v>93</v>
      </c>
      <c r="D28" s="78">
        <v>12000</v>
      </c>
      <c r="E28" s="76" t="s">
        <v>94</v>
      </c>
      <c r="F28" s="76" t="s">
        <v>95</v>
      </c>
      <c r="G28" s="76">
        <v>2000</v>
      </c>
    </row>
    <row r="29" spans="1:7" x14ac:dyDescent="0.45">
      <c r="B29" s="76" t="s">
        <v>96</v>
      </c>
      <c r="C29" s="76" t="s">
        <v>97</v>
      </c>
      <c r="D29" s="78">
        <v>18000</v>
      </c>
      <c r="E29" s="76" t="s">
        <v>98</v>
      </c>
      <c r="F29" s="76" t="s">
        <v>45</v>
      </c>
      <c r="G29" s="76">
        <v>0</v>
      </c>
    </row>
    <row r="30" spans="1:7" ht="15.75" thickBot="1" x14ac:dyDescent="0.5">
      <c r="B30" s="73" t="s">
        <v>99</v>
      </c>
      <c r="C30" s="73" t="s">
        <v>100</v>
      </c>
      <c r="D30" s="79">
        <v>2000</v>
      </c>
      <c r="E30" s="73" t="s">
        <v>101</v>
      </c>
      <c r="F30" s="73" t="s">
        <v>95</v>
      </c>
      <c r="G30" s="73">
        <v>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300D4-0C33-444C-959C-8E3334DBC647}">
  <dimension ref="A1:H18"/>
  <sheetViews>
    <sheetView showGridLines="0" workbookViewId="0">
      <selection activeCell="E15" sqref="E15:E18"/>
    </sheetView>
  </sheetViews>
  <sheetFormatPr defaultRowHeight="15.4" x14ac:dyDescent="0.45"/>
  <cols>
    <col min="1" max="1" width="2.0625" customWidth="1"/>
    <col min="2" max="2" width="6.125" bestFit="1" customWidth="1"/>
    <col min="3" max="3" width="25.75" bestFit="1" customWidth="1"/>
    <col min="4" max="4" width="5.6875" bestFit="1" customWidth="1"/>
    <col min="5" max="5" width="8.125" bestFit="1" customWidth="1"/>
    <col min="6" max="6" width="10.1875" bestFit="1" customWidth="1"/>
    <col min="7" max="7" width="11.6875" bestFit="1" customWidth="1"/>
    <col min="8" max="8" width="9.25" bestFit="1" customWidth="1"/>
  </cols>
  <sheetData>
    <row r="1" spans="1:8" x14ac:dyDescent="0.45">
      <c r="A1" s="72" t="s">
        <v>102</v>
      </c>
    </row>
    <row r="2" spans="1:8" x14ac:dyDescent="0.45">
      <c r="A2" s="72" t="s">
        <v>64</v>
      </c>
    </row>
    <row r="3" spans="1:8" x14ac:dyDescent="0.45">
      <c r="A3" s="72" t="s">
        <v>115</v>
      </c>
    </row>
    <row r="6" spans="1:8" ht="15.75" thickBot="1" x14ac:dyDescent="0.5">
      <c r="A6" t="s">
        <v>77</v>
      </c>
    </row>
    <row r="7" spans="1:8" x14ac:dyDescent="0.45">
      <c r="B7" s="80"/>
      <c r="C7" s="80"/>
      <c r="D7" s="80" t="s">
        <v>103</v>
      </c>
      <c r="E7" s="80" t="s">
        <v>104</v>
      </c>
      <c r="F7" s="80" t="s">
        <v>106</v>
      </c>
      <c r="G7" s="80" t="s">
        <v>107</v>
      </c>
      <c r="H7" s="80" t="s">
        <v>107</v>
      </c>
    </row>
    <row r="8" spans="1:8" ht="15.75" thickBot="1" x14ac:dyDescent="0.5">
      <c r="B8" s="81" t="s">
        <v>73</v>
      </c>
      <c r="C8" s="81" t="s">
        <v>74</v>
      </c>
      <c r="D8" s="81" t="s">
        <v>42</v>
      </c>
      <c r="E8" s="81" t="s">
        <v>105</v>
      </c>
      <c r="F8" s="81" t="s">
        <v>50</v>
      </c>
      <c r="G8" s="81" t="s">
        <v>108</v>
      </c>
      <c r="H8" s="81" t="s">
        <v>109</v>
      </c>
    </row>
    <row r="9" spans="1:8" x14ac:dyDescent="0.45">
      <c r="B9" s="76" t="s">
        <v>84</v>
      </c>
      <c r="C9" s="76" t="s">
        <v>85</v>
      </c>
      <c r="D9" s="76">
        <v>2000</v>
      </c>
      <c r="E9" s="76">
        <v>0</v>
      </c>
      <c r="F9" s="76">
        <v>100</v>
      </c>
      <c r="G9" s="76">
        <v>20</v>
      </c>
      <c r="H9" s="76">
        <v>40</v>
      </c>
    </row>
    <row r="10" spans="1:8" ht="15.75" thickBot="1" x14ac:dyDescent="0.5">
      <c r="B10" s="73" t="s">
        <v>87</v>
      </c>
      <c r="C10" s="73" t="s">
        <v>88</v>
      </c>
      <c r="D10" s="73">
        <v>8000</v>
      </c>
      <c r="E10" s="73">
        <v>0</v>
      </c>
      <c r="F10" s="73">
        <v>120</v>
      </c>
      <c r="G10" s="73">
        <v>80</v>
      </c>
      <c r="H10" s="73">
        <v>20</v>
      </c>
    </row>
    <row r="12" spans="1:8" ht="15.75" thickBot="1" x14ac:dyDescent="0.5">
      <c r="A12" t="s">
        <v>79</v>
      </c>
    </row>
    <row r="13" spans="1:8" x14ac:dyDescent="0.45">
      <c r="B13" s="80"/>
      <c r="C13" s="80"/>
      <c r="D13" s="80" t="s">
        <v>103</v>
      </c>
      <c r="E13" s="80" t="s">
        <v>110</v>
      </c>
      <c r="F13" s="80" t="s">
        <v>41</v>
      </c>
      <c r="G13" s="80" t="s">
        <v>107</v>
      </c>
      <c r="H13" s="80" t="s">
        <v>107</v>
      </c>
    </row>
    <row r="14" spans="1:8" ht="15.75" thickBot="1" x14ac:dyDescent="0.5">
      <c r="B14" s="81" t="s">
        <v>73</v>
      </c>
      <c r="C14" s="81" t="s">
        <v>74</v>
      </c>
      <c r="D14" s="81" t="s">
        <v>42</v>
      </c>
      <c r="E14" s="81" t="s">
        <v>111</v>
      </c>
      <c r="F14" s="81" t="s">
        <v>112</v>
      </c>
      <c r="G14" s="81" t="s">
        <v>108</v>
      </c>
      <c r="H14" s="81" t="s">
        <v>109</v>
      </c>
    </row>
    <row r="15" spans="1:8" x14ac:dyDescent="0.45">
      <c r="B15" s="76" t="s">
        <v>89</v>
      </c>
      <c r="C15" s="76" t="s">
        <v>90</v>
      </c>
      <c r="D15" s="76">
        <v>10000</v>
      </c>
      <c r="E15" s="76">
        <v>80</v>
      </c>
      <c r="F15" s="76">
        <v>10000</v>
      </c>
      <c r="G15" s="76">
        <v>666.66666666666663</v>
      </c>
      <c r="H15" s="76">
        <v>1000</v>
      </c>
    </row>
    <row r="16" spans="1:8" x14ac:dyDescent="0.45">
      <c r="B16" s="76" t="s">
        <v>92</v>
      </c>
      <c r="C16" s="76" t="s">
        <v>93</v>
      </c>
      <c r="D16" s="76">
        <v>12000</v>
      </c>
      <c r="E16" s="76">
        <v>0</v>
      </c>
      <c r="F16" s="76">
        <v>14000</v>
      </c>
      <c r="G16" s="76">
        <v>1E+30</v>
      </c>
      <c r="H16" s="76">
        <v>2000</v>
      </c>
    </row>
    <row r="17" spans="2:8" x14ac:dyDescent="0.45">
      <c r="B17" s="76" t="s">
        <v>96</v>
      </c>
      <c r="C17" s="76" t="s">
        <v>97</v>
      </c>
      <c r="D17" s="76">
        <v>18000</v>
      </c>
      <c r="E17" s="76">
        <v>20</v>
      </c>
      <c r="F17" s="76">
        <v>18000</v>
      </c>
      <c r="G17" s="76">
        <v>2000</v>
      </c>
      <c r="H17" s="76">
        <v>2000</v>
      </c>
    </row>
    <row r="18" spans="2:8" ht="15.75" thickBot="1" x14ac:dyDescent="0.5">
      <c r="B18" s="73" t="s">
        <v>99</v>
      </c>
      <c r="C18" s="73" t="s">
        <v>100</v>
      </c>
      <c r="D18" s="73">
        <v>2000</v>
      </c>
      <c r="E18" s="73">
        <v>0</v>
      </c>
      <c r="F18" s="73">
        <v>6000</v>
      </c>
      <c r="G18" s="73">
        <v>1E+30</v>
      </c>
      <c r="H18" s="73">
        <v>4000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CoverPage</vt:lpstr>
      <vt:lpstr>Problem 2.3</vt:lpstr>
      <vt:lpstr>2.3 Answer Report</vt:lpstr>
      <vt:lpstr>2.3 Sensitivity Report</vt:lpstr>
      <vt:lpstr>AssignName</vt:lpstr>
      <vt:lpstr>CourseName</vt:lpstr>
      <vt:lpstr>DueDate</vt:lpstr>
      <vt:lpstr>'Problem 2.3'!Print_Area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Ward</dc:creator>
  <cp:lastModifiedBy>Joshua Ward</cp:lastModifiedBy>
  <cp:lastPrinted>2020-09-14T02:27:41Z</cp:lastPrinted>
  <dcterms:created xsi:type="dcterms:W3CDTF">2020-02-21T17:03:57Z</dcterms:created>
  <dcterms:modified xsi:type="dcterms:W3CDTF">2020-09-23T19:18:19Z</dcterms:modified>
</cp:coreProperties>
</file>